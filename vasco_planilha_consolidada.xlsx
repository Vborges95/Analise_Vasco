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orge\Downloads\"/>
    </mc:Choice>
  </mc:AlternateContent>
  <xr:revisionPtr revIDLastSave="0" documentId="13_ncr:1_{C316C711-CBD5-451B-AAE4-1CCFBF2EC664}" xr6:coauthVersionLast="47" xr6:coauthVersionMax="47" xr10:uidLastSave="{00000000-0000-0000-0000-000000000000}"/>
  <bookViews>
    <workbookView xWindow="-120" yWindow="-120" windowWidth="20730" windowHeight="11040" tabRatio="500" firstSheet="8" activeTab="9" xr2:uid="{00000000-000D-0000-FFFF-FFFF00000000}"/>
  </bookViews>
  <sheets>
    <sheet name="BP" sheetId="1" r:id="rId1"/>
    <sheet name="DRE" sheetId="2" r:id="rId2"/>
    <sheet name="Receita Detalhada" sheetId="3" r:id="rId3"/>
    <sheet name="DFC" sheetId="4" r:id="rId4"/>
    <sheet name="Operacional Puro" sheetId="5" r:id="rId5"/>
    <sheet name="Indicadores" sheetId="6" r:id="rId6"/>
    <sheet name="Premissas Runway" sheetId="7" r:id="rId7"/>
    <sheet name="Modelo Runway" sheetId="8" r:id="rId8"/>
    <sheet name="Resumo Cenários" sheetId="9" r:id="rId9"/>
    <sheet name="Caminho A — Trajetória" sheetId="10" r:id="rId10"/>
    <sheet name="Conformidade SSF" sheetId="11" r:id="rId1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1" l="1"/>
  <c r="B15" i="11" s="1"/>
  <c r="B8" i="11"/>
  <c r="B9" i="11" s="1"/>
  <c r="B27" i="10"/>
  <c r="B28" i="10" s="1"/>
  <c r="D21" i="10"/>
  <c r="D18" i="11" s="1"/>
  <c r="D19" i="11" s="1"/>
  <c r="C21" i="10"/>
  <c r="C18" i="11" s="1"/>
  <c r="C19" i="11" s="1"/>
  <c r="B21" i="10"/>
  <c r="D20" i="10"/>
  <c r="C20" i="10"/>
  <c r="H19" i="10"/>
  <c r="H21" i="10" s="1"/>
  <c r="G19" i="10"/>
  <c r="F19" i="10"/>
  <c r="E19" i="10"/>
  <c r="D19" i="10"/>
  <c r="C19" i="10"/>
  <c r="E17" i="10"/>
  <c r="D17" i="10"/>
  <c r="C17" i="10"/>
  <c r="B11" i="10"/>
  <c r="B10" i="10"/>
  <c r="G9" i="10"/>
  <c r="G22" i="11" s="1"/>
  <c r="E9" i="10"/>
  <c r="E22" i="11" s="1"/>
  <c r="D9" i="10"/>
  <c r="D22" i="11" s="1"/>
  <c r="C6" i="10"/>
  <c r="D9" i="9"/>
  <c r="C9" i="9"/>
  <c r="B9" i="9"/>
  <c r="D8" i="9"/>
  <c r="C8" i="9"/>
  <c r="B8" i="9"/>
  <c r="D7" i="9"/>
  <c r="C7" i="9"/>
  <c r="B7" i="9"/>
  <c r="D6" i="9"/>
  <c r="C6" i="9"/>
  <c r="B6" i="9"/>
  <c r="H22" i="8"/>
  <c r="G22" i="8"/>
  <c r="F22" i="8"/>
  <c r="D22" i="8"/>
  <c r="C22" i="8"/>
  <c r="B22" i="8"/>
  <c r="H21" i="8"/>
  <c r="G21" i="8"/>
  <c r="F21" i="8"/>
  <c r="D21" i="8"/>
  <c r="C21" i="8"/>
  <c r="B21" i="8"/>
  <c r="H20" i="8"/>
  <c r="G20" i="8"/>
  <c r="F20" i="8"/>
  <c r="D20" i="8"/>
  <c r="C20" i="8"/>
  <c r="B20" i="8"/>
  <c r="H19" i="8"/>
  <c r="G19" i="8"/>
  <c r="F19" i="8"/>
  <c r="D19" i="8"/>
  <c r="C19" i="8"/>
  <c r="B19" i="8"/>
  <c r="H18" i="8"/>
  <c r="G18" i="8"/>
  <c r="F18" i="8"/>
  <c r="B18" i="8"/>
  <c r="H17" i="8"/>
  <c r="G17" i="8"/>
  <c r="F17" i="8"/>
  <c r="D17" i="8"/>
  <c r="C17" i="8"/>
  <c r="B17" i="8"/>
  <c r="H16" i="8"/>
  <c r="G16" i="8"/>
  <c r="F16" i="8"/>
  <c r="D16" i="8"/>
  <c r="D23" i="8" s="1"/>
  <c r="C16" i="8"/>
  <c r="C23" i="8" s="1"/>
  <c r="B16" i="8"/>
  <c r="H15" i="8"/>
  <c r="G15" i="8"/>
  <c r="F15" i="8"/>
  <c r="D15" i="8"/>
  <c r="C15" i="8"/>
  <c r="B15" i="8"/>
  <c r="H14" i="8"/>
  <c r="H6" i="11" s="1"/>
  <c r="G14" i="8"/>
  <c r="D14" i="8"/>
  <c r="E6" i="11" s="1"/>
  <c r="C14" i="8"/>
  <c r="D6" i="11" s="1"/>
  <c r="B14" i="8"/>
  <c r="C6" i="11" s="1"/>
  <c r="H10" i="8"/>
  <c r="G10" i="8"/>
  <c r="F10" i="8"/>
  <c r="H9" i="8"/>
  <c r="H20" i="10" s="1"/>
  <c r="G9" i="8"/>
  <c r="G20" i="10" s="1"/>
  <c r="F9" i="8"/>
  <c r="F20" i="10" s="1"/>
  <c r="F21" i="10" s="1"/>
  <c r="D9" i="8"/>
  <c r="E20" i="10" s="1"/>
  <c r="E21" i="10" s="1"/>
  <c r="C9" i="8"/>
  <c r="B9" i="8"/>
  <c r="D8" i="8"/>
  <c r="H8" i="8" s="1"/>
  <c r="C8" i="8"/>
  <c r="G8" i="8" s="1"/>
  <c r="B8" i="8"/>
  <c r="F8" i="8" s="1"/>
  <c r="D32" i="7"/>
  <c r="D18" i="8" s="1"/>
  <c r="C32" i="7"/>
  <c r="C18" i="8" s="1"/>
  <c r="B32" i="7"/>
  <c r="D27" i="6"/>
  <c r="C27" i="6"/>
  <c r="E27" i="6" s="1"/>
  <c r="B27" i="6"/>
  <c r="E26" i="6"/>
  <c r="D26" i="6"/>
  <c r="C26" i="6"/>
  <c r="B26" i="6"/>
  <c r="E25" i="6"/>
  <c r="E24" i="6"/>
  <c r="E18" i="6"/>
  <c r="E15" i="6"/>
  <c r="E14" i="6"/>
  <c r="E13" i="6"/>
  <c r="E12" i="6"/>
  <c r="E9" i="6"/>
  <c r="D9" i="6"/>
  <c r="C9" i="6"/>
  <c r="B9" i="6"/>
  <c r="E8" i="6"/>
  <c r="E7" i="6"/>
  <c r="E6" i="6"/>
  <c r="D25" i="5"/>
  <c r="C25" i="5"/>
  <c r="B25" i="5"/>
  <c r="B19" i="5"/>
  <c r="E17" i="5"/>
  <c r="E16" i="5"/>
  <c r="E15" i="5"/>
  <c r="D15" i="5"/>
  <c r="C15" i="5"/>
  <c r="B15" i="5"/>
  <c r="E14" i="5"/>
  <c r="E13" i="5"/>
  <c r="D10" i="5"/>
  <c r="D19" i="5" s="1"/>
  <c r="C10" i="5"/>
  <c r="C19" i="5" s="1"/>
  <c r="B10" i="5"/>
  <c r="B19" i="6" s="1"/>
  <c r="E9" i="5"/>
  <c r="E8" i="5"/>
  <c r="E7" i="5"/>
  <c r="E6" i="5"/>
  <c r="E57" i="4"/>
  <c r="D54" i="4"/>
  <c r="E54" i="4" s="1"/>
  <c r="C54" i="4"/>
  <c r="B54" i="4"/>
  <c r="E53" i="4"/>
  <c r="E52" i="4"/>
  <c r="E51" i="4"/>
  <c r="E50" i="4"/>
  <c r="E49" i="4"/>
  <c r="E48" i="4"/>
  <c r="D45" i="4"/>
  <c r="E45" i="4" s="1"/>
  <c r="C45" i="4"/>
  <c r="B45" i="4"/>
  <c r="E44" i="4"/>
  <c r="E43" i="4"/>
  <c r="D39" i="4"/>
  <c r="E39" i="4" s="1"/>
  <c r="C39" i="4"/>
  <c r="B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D18" i="4"/>
  <c r="C18" i="4"/>
  <c r="C40" i="4" s="1"/>
  <c r="C56" i="4" s="1"/>
  <c r="C58" i="4" s="1"/>
  <c r="B18" i="4"/>
  <c r="B40" i="4" s="1"/>
  <c r="B56" i="4" s="1"/>
  <c r="B58" i="4" s="1"/>
  <c r="E17" i="4"/>
  <c r="E16" i="4"/>
  <c r="E15" i="4"/>
  <c r="E14" i="4"/>
  <c r="E13" i="4"/>
  <c r="E12" i="4"/>
  <c r="E11" i="4"/>
  <c r="E10" i="4"/>
  <c r="E9" i="4"/>
  <c r="E8" i="4"/>
  <c r="E6" i="4"/>
  <c r="E29" i="3"/>
  <c r="D28" i="3"/>
  <c r="E28" i="3" s="1"/>
  <c r="C28" i="3"/>
  <c r="B28" i="3"/>
  <c r="E27" i="3"/>
  <c r="B26" i="3"/>
  <c r="B20" i="5" s="1"/>
  <c r="B21" i="5" s="1"/>
  <c r="E23" i="3"/>
  <c r="E22" i="3"/>
  <c r="E21" i="3"/>
  <c r="E20" i="3"/>
  <c r="D17" i="3"/>
  <c r="E17" i="3" s="1"/>
  <c r="C17" i="3"/>
  <c r="C26" i="3" s="1"/>
  <c r="B17" i="3"/>
  <c r="E16" i="3"/>
  <c r="E15" i="3"/>
  <c r="D15" i="3"/>
  <c r="C15" i="3"/>
  <c r="B15" i="3"/>
  <c r="E14" i="3"/>
  <c r="E13" i="3"/>
  <c r="E12" i="3"/>
  <c r="E11" i="3"/>
  <c r="E10" i="3"/>
  <c r="E9" i="3"/>
  <c r="E8" i="3"/>
  <c r="E7" i="3"/>
  <c r="E6" i="3"/>
  <c r="D17" i="2"/>
  <c r="E13" i="2"/>
  <c r="D13" i="2"/>
  <c r="C13" i="2"/>
  <c r="B13" i="2"/>
  <c r="E12" i="2"/>
  <c r="E11" i="2"/>
  <c r="D10" i="2"/>
  <c r="E9" i="2"/>
  <c r="E8" i="2"/>
  <c r="D7" i="2"/>
  <c r="C7" i="2"/>
  <c r="C10" i="2" s="1"/>
  <c r="B7" i="2"/>
  <c r="B10" i="2" s="1"/>
  <c r="E6" i="2"/>
  <c r="E5" i="2"/>
  <c r="C71" i="1"/>
  <c r="B71" i="1"/>
  <c r="D65" i="1"/>
  <c r="C65" i="1"/>
  <c r="D64" i="1"/>
  <c r="E64" i="1" s="1"/>
  <c r="C64" i="1"/>
  <c r="B64" i="1"/>
  <c r="E63" i="1"/>
  <c r="E62" i="1"/>
  <c r="E61" i="1"/>
  <c r="E60" i="1"/>
  <c r="E59" i="1"/>
  <c r="E58" i="1"/>
  <c r="E57" i="1"/>
  <c r="D54" i="1"/>
  <c r="E54" i="1" s="1"/>
  <c r="C54" i="1"/>
  <c r="B54" i="1"/>
  <c r="E53" i="1"/>
  <c r="E52" i="1"/>
  <c r="E51" i="1"/>
  <c r="E50" i="1"/>
  <c r="E49" i="1"/>
  <c r="E48" i="1"/>
  <c r="E47" i="1"/>
  <c r="E46" i="1"/>
  <c r="E45" i="1"/>
  <c r="E44" i="1"/>
  <c r="E43" i="1"/>
  <c r="E41" i="1"/>
  <c r="D41" i="1"/>
  <c r="C41" i="1"/>
  <c r="B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D23" i="1"/>
  <c r="C23" i="1"/>
  <c r="B23" i="1"/>
  <c r="B24" i="1" s="1"/>
  <c r="E22" i="1"/>
  <c r="E21" i="1"/>
  <c r="E20" i="1"/>
  <c r="E19" i="1"/>
  <c r="E18" i="1"/>
  <c r="E17" i="1"/>
  <c r="E15" i="1"/>
  <c r="D15" i="1"/>
  <c r="D70" i="1" s="1"/>
  <c r="E70" i="1" s="1"/>
  <c r="C15" i="1"/>
  <c r="C70" i="1" s="1"/>
  <c r="B15" i="1"/>
  <c r="B70" i="1" s="1"/>
  <c r="E14" i="1"/>
  <c r="E13" i="1"/>
  <c r="E12" i="1"/>
  <c r="E11" i="1"/>
  <c r="E10" i="1"/>
  <c r="E9" i="1"/>
  <c r="E8" i="1"/>
  <c r="E7" i="1"/>
  <c r="B14" i="2" l="1"/>
  <c r="B19" i="2" s="1"/>
  <c r="B18" i="2"/>
  <c r="H6" i="10"/>
  <c r="H7" i="11"/>
  <c r="H14" i="10"/>
  <c r="H15" i="10" s="1"/>
  <c r="H16" i="10" s="1"/>
  <c r="H11" i="8"/>
  <c r="E18" i="11"/>
  <c r="E19" i="11" s="1"/>
  <c r="E22" i="10"/>
  <c r="C20" i="5"/>
  <c r="C32" i="3"/>
  <c r="C20" i="6"/>
  <c r="C24" i="5"/>
  <c r="C26" i="5"/>
  <c r="C21" i="6" s="1"/>
  <c r="C21" i="5"/>
  <c r="E10" i="2"/>
  <c r="C18" i="2"/>
  <c r="C14" i="2"/>
  <c r="C19" i="2" s="1"/>
  <c r="E19" i="5"/>
  <c r="B14" i="10"/>
  <c r="B15" i="10" s="1"/>
  <c r="B16" i="10" s="1"/>
  <c r="D20" i="6"/>
  <c r="D24" i="5"/>
  <c r="E24" i="5" s="1"/>
  <c r="D26" i="5"/>
  <c r="F18" i="11"/>
  <c r="F19" i="11" s="1"/>
  <c r="F22" i="10"/>
  <c r="F7" i="11"/>
  <c r="F11" i="8"/>
  <c r="F6" i="10"/>
  <c r="F14" i="10"/>
  <c r="F15" i="10" s="1"/>
  <c r="F16" i="10" s="1"/>
  <c r="C13" i="9"/>
  <c r="D26" i="10"/>
  <c r="G6" i="10"/>
  <c r="G7" i="11"/>
  <c r="G14" i="10"/>
  <c r="G11" i="8"/>
  <c r="E26" i="10"/>
  <c r="D13" i="9"/>
  <c r="B31" i="10"/>
  <c r="E65" i="1"/>
  <c r="D71" i="1"/>
  <c r="E71" i="1" s="1"/>
  <c r="E7" i="2"/>
  <c r="C17" i="2"/>
  <c r="E17" i="2" s="1"/>
  <c r="E18" i="4"/>
  <c r="D40" i="4"/>
  <c r="E10" i="5"/>
  <c r="D19" i="6"/>
  <c r="E19" i="6" s="1"/>
  <c r="H23" i="8"/>
  <c r="H26" i="10" s="1"/>
  <c r="D6" i="10"/>
  <c r="D10" i="10" s="1"/>
  <c r="D11" i="10" s="1"/>
  <c r="H9" i="10"/>
  <c r="G21" i="10"/>
  <c r="C24" i="1"/>
  <c r="C67" i="1" s="1"/>
  <c r="B65" i="1"/>
  <c r="B67" i="1" s="1"/>
  <c r="B72" i="1"/>
  <c r="D26" i="3"/>
  <c r="B32" i="3"/>
  <c r="B26" i="5"/>
  <c r="B21" i="6" s="1"/>
  <c r="B24" i="5"/>
  <c r="E6" i="10"/>
  <c r="H22" i="10"/>
  <c r="H18" i="11"/>
  <c r="H19" i="11" s="1"/>
  <c r="H8" i="11"/>
  <c r="E23" i="1"/>
  <c r="B17" i="2"/>
  <c r="E25" i="5"/>
  <c r="C19" i="6"/>
  <c r="D24" i="1"/>
  <c r="E24" i="1" s="1"/>
  <c r="C72" i="1"/>
  <c r="B20" i="6"/>
  <c r="D8" i="11"/>
  <c r="C22" i="10"/>
  <c r="E7" i="11"/>
  <c r="E8" i="11" s="1"/>
  <c r="E14" i="10"/>
  <c r="C9" i="10"/>
  <c r="E10" i="10"/>
  <c r="E11" i="10" s="1"/>
  <c r="D22" i="10"/>
  <c r="D14" i="10"/>
  <c r="D7" i="11"/>
  <c r="C11" i="8"/>
  <c r="F14" i="8"/>
  <c r="D18" i="2"/>
  <c r="E18" i="2" s="1"/>
  <c r="D14" i="2"/>
  <c r="B11" i="8"/>
  <c r="C7" i="11"/>
  <c r="C8" i="11" s="1"/>
  <c r="D11" i="8"/>
  <c r="G23" i="8"/>
  <c r="G26" i="10" s="1"/>
  <c r="G6" i="11"/>
  <c r="G8" i="11" s="1"/>
  <c r="B23" i="8"/>
  <c r="G10" i="10"/>
  <c r="G11" i="10" s="1"/>
  <c r="C14" i="10"/>
  <c r="C15" i="10" s="1"/>
  <c r="C16" i="10" s="1"/>
  <c r="B22" i="10"/>
  <c r="B18" i="11"/>
  <c r="B19" i="11" s="1"/>
  <c r="B10" i="11"/>
  <c r="E9" i="11" l="1"/>
  <c r="E10" i="11"/>
  <c r="C9" i="11"/>
  <c r="C10" i="11"/>
  <c r="E26" i="5"/>
  <c r="D21" i="6"/>
  <c r="E21" i="6" s="1"/>
  <c r="G26" i="8"/>
  <c r="B12" i="9"/>
  <c r="B26" i="8"/>
  <c r="E14" i="2"/>
  <c r="D19" i="2"/>
  <c r="E19" i="2" s="1"/>
  <c r="C10" i="10"/>
  <c r="C11" i="10" s="1"/>
  <c r="C22" i="11"/>
  <c r="D56" i="4"/>
  <c r="E40" i="4"/>
  <c r="B13" i="9"/>
  <c r="C26" i="10"/>
  <c r="F23" i="8"/>
  <c r="F26" i="10" s="1"/>
  <c r="F6" i="11"/>
  <c r="F8" i="11" s="1"/>
  <c r="F9" i="10"/>
  <c r="E15" i="10"/>
  <c r="E16" i="10" s="1"/>
  <c r="G18" i="11"/>
  <c r="G19" i="11" s="1"/>
  <c r="G22" i="10"/>
  <c r="G15" i="10"/>
  <c r="G16" i="10" s="1"/>
  <c r="F26" i="8"/>
  <c r="E20" i="6"/>
  <c r="H26" i="8"/>
  <c r="C14" i="11"/>
  <c r="C13" i="11"/>
  <c r="H10" i="11"/>
  <c r="H9" i="11"/>
  <c r="G9" i="11"/>
  <c r="G10" i="11"/>
  <c r="C12" i="9"/>
  <c r="C26" i="8"/>
  <c r="E13" i="11"/>
  <c r="E15" i="11" s="1"/>
  <c r="E14" i="11"/>
  <c r="H22" i="11"/>
  <c r="H10" i="10"/>
  <c r="H11" i="10" s="1"/>
  <c r="G13" i="11"/>
  <c r="G14" i="11"/>
  <c r="F14" i="11"/>
  <c r="D32" i="3"/>
  <c r="E32" i="3" s="1"/>
  <c r="D20" i="5"/>
  <c r="E26" i="3"/>
  <c r="D13" i="11"/>
  <c r="D15" i="11" s="1"/>
  <c r="D14" i="11"/>
  <c r="H13" i="11"/>
  <c r="H15" i="11" s="1"/>
  <c r="H14" i="11"/>
  <c r="D9" i="11"/>
  <c r="D10" i="11"/>
  <c r="D26" i="8"/>
  <c r="D12" i="9"/>
  <c r="D15" i="10"/>
  <c r="D16" i="10" s="1"/>
  <c r="D67" i="1"/>
  <c r="D72" i="1"/>
  <c r="E72" i="1" s="1"/>
  <c r="E56" i="4" l="1"/>
  <c r="D58" i="4"/>
  <c r="E58" i="4" s="1"/>
  <c r="D30" i="8"/>
  <c r="D31" i="8" s="1"/>
  <c r="D27" i="8"/>
  <c r="D14" i="9"/>
  <c r="E20" i="5"/>
  <c r="D21" i="5"/>
  <c r="E21" i="5" s="1"/>
  <c r="C15" i="11"/>
  <c r="F22" i="11"/>
  <c r="F10" i="10"/>
  <c r="F11" i="10" s="1"/>
  <c r="C30" i="8"/>
  <c r="C31" i="8" s="1"/>
  <c r="C27" i="8"/>
  <c r="C14" i="9"/>
  <c r="H27" i="8"/>
  <c r="H30" i="8"/>
  <c r="H31" i="8" s="1"/>
  <c r="F9" i="11"/>
  <c r="F10" i="11"/>
  <c r="F13" i="11"/>
  <c r="F15" i="11" s="1"/>
  <c r="F30" i="8"/>
  <c r="F31" i="8" s="1"/>
  <c r="F27" i="8"/>
  <c r="B27" i="8"/>
  <c r="B30" i="8"/>
  <c r="B31" i="8" s="1"/>
  <c r="B14" i="9"/>
  <c r="G15" i="11"/>
  <c r="G30" i="8"/>
  <c r="G31" i="8" s="1"/>
  <c r="G27" i="8"/>
  <c r="C25" i="10" l="1"/>
  <c r="C27" i="10" s="1"/>
  <c r="C28" i="10" s="1"/>
  <c r="C31" i="10" s="1"/>
  <c r="B15" i="9"/>
  <c r="B32" i="8"/>
  <c r="B16" i="9" s="1"/>
  <c r="H32" i="8"/>
  <c r="H25" i="10"/>
  <c r="H27" i="10" s="1"/>
  <c r="H28" i="10" s="1"/>
  <c r="H31" i="10" s="1"/>
  <c r="F32" i="8"/>
  <c r="F25" i="10"/>
  <c r="F27" i="10" s="1"/>
  <c r="F28" i="10" s="1"/>
  <c r="D25" i="10"/>
  <c r="D27" i="10" s="1"/>
  <c r="D28" i="10" s="1"/>
  <c r="D31" i="10" s="1"/>
  <c r="C15" i="9"/>
  <c r="C32" i="8"/>
  <c r="C16" i="9" s="1"/>
  <c r="G32" i="8"/>
  <c r="G25" i="10"/>
  <c r="G27" i="10" s="1"/>
  <c r="G28" i="10" s="1"/>
  <c r="G31" i="10" s="1"/>
  <c r="D15" i="9"/>
  <c r="D32" i="8"/>
  <c r="D16" i="9" s="1"/>
  <c r="E25" i="10"/>
  <c r="E27" i="10" s="1"/>
  <c r="E28" i="10" s="1"/>
  <c r="E31" i="10" s="1"/>
  <c r="F31" i="10"/>
</calcChain>
</file>

<file path=xl/sharedStrings.xml><?xml version="1.0" encoding="utf-8"?>
<sst xmlns="http://schemas.openxmlformats.org/spreadsheetml/2006/main" count="532" uniqueCount="438">
  <si>
    <t>Vasco SAF — Balanço Patrimonial Consolidado</t>
  </si>
  <si>
    <t>R$ mil | 2023 reapresentado conforme ITG 2003 (R2)</t>
  </si>
  <si>
    <t>Linha</t>
  </si>
  <si>
    <t>2023 reapr.</t>
  </si>
  <si>
    <t>2024</t>
  </si>
  <si>
    <t>2025</t>
  </si>
  <si>
    <t>Δ 25 vs 24</t>
  </si>
  <si>
    <t>Notas</t>
  </si>
  <si>
    <t>ATIVO</t>
  </si>
  <si>
    <t>Circulante</t>
  </si>
  <si>
    <t xml:space="preserve">  Caixa e equivalentes</t>
  </si>
  <si>
    <t xml:space="preserve">  Contas a receber</t>
  </si>
  <si>
    <t xml:space="preserve">  Créditos com partes relacionadas</t>
  </si>
  <si>
    <t xml:space="preserve">  Estoques</t>
  </si>
  <si>
    <t xml:space="preserve">  Adiantamentos a terceiros</t>
  </si>
  <si>
    <t xml:space="preserve">  Despesas antecipadas</t>
  </si>
  <si>
    <t xml:space="preserve">  Impostos a recuperar</t>
  </si>
  <si>
    <t xml:space="preserve">  Outros ativos</t>
  </si>
  <si>
    <t>Total ativo circulante</t>
  </si>
  <si>
    <t>Não circulante</t>
  </si>
  <si>
    <t xml:space="preserve">  Depósitos judiciais</t>
  </si>
  <si>
    <t xml:space="preserve">  Créditos tributários</t>
  </si>
  <si>
    <t xml:space="preserve">  Imobilizado</t>
  </si>
  <si>
    <t xml:space="preserve">  Intangível (atletas)</t>
  </si>
  <si>
    <t>Total ativo não circulante</t>
  </si>
  <si>
    <t>TOTAL DO ATIVO</t>
  </si>
  <si>
    <t>PASSIVO</t>
  </si>
  <si>
    <t xml:space="preserve">  Fornecedores</t>
  </si>
  <si>
    <t xml:space="preserve">  Obrigações trabalhistas e sociais</t>
  </si>
  <si>
    <t xml:space="preserve">  Impostos a recolher</t>
  </si>
  <si>
    <t xml:space="preserve">  Imagem e transações de atletas a pagar</t>
  </si>
  <si>
    <t xml:space="preserve">  Regime Centralizado de Execuções (RCE)</t>
  </si>
  <si>
    <t xml:space="preserve">  Parcelamentos</t>
  </si>
  <si>
    <t xml:space="preserve">  Obrigações com entidades esportivas</t>
  </si>
  <si>
    <t xml:space="preserve">  Empréstimos e financiamentos</t>
  </si>
  <si>
    <t xml:space="preserve">  Arrendamentos</t>
  </si>
  <si>
    <t xml:space="preserve">  Passivo contratual</t>
  </si>
  <si>
    <t xml:space="preserve">  Acordos cíveis e trabalhistas</t>
  </si>
  <si>
    <t xml:space="preserve">  Provisão para riscos judiciais</t>
  </si>
  <si>
    <t xml:space="preserve">  Passivo Concursal — RJ (circ.)</t>
  </si>
  <si>
    <t>Total passivo circulante</t>
  </si>
  <si>
    <t xml:space="preserve">  Passivo Concursal — RJ (NC)</t>
  </si>
  <si>
    <t xml:space="preserve">  (-) AVP Recuperação Judicial</t>
  </si>
  <si>
    <t>Total passivo não circulante</t>
  </si>
  <si>
    <t>PATRIMÔNIO LÍQUIDO (PASSIVO A DESCOBERTO)</t>
  </si>
  <si>
    <t xml:space="preserve">  Capital social</t>
  </si>
  <si>
    <t xml:space="preserve">  Capital a integralizar</t>
  </si>
  <si>
    <t xml:space="preserve">  Assunção de dívida</t>
  </si>
  <si>
    <t xml:space="preserve">  Reservas de capital</t>
  </si>
  <si>
    <t xml:space="preserve">  Custo de transação</t>
  </si>
  <si>
    <t xml:space="preserve">  Ajustes de avaliação patrimonial</t>
  </si>
  <si>
    <t xml:space="preserve">  Prejuízos acumulados</t>
  </si>
  <si>
    <t>Total PL (passivo a descoberto)</t>
  </si>
  <si>
    <t>TOTAL DO PASSIVO + PL</t>
  </si>
  <si>
    <t>Confere com Total do Ativo?</t>
  </si>
  <si>
    <t>INDICADORES</t>
  </si>
  <si>
    <t>Capital circulante líquido</t>
  </si>
  <si>
    <t>Liquidez corrente (AC/PC)</t>
  </si>
  <si>
    <t>Passivo total / Ativo total</t>
  </si>
  <si>
    <t>Notas:</t>
  </si>
  <si>
    <t>• 2023 reapresentado conforme reapresentação publicada no balanço de 2024 (Nota 4 do BP 2024).</t>
  </si>
  <si>
    <t>• Em 2025, o RCE foi integralmente reclassificado para o Passivo Concursal — RJ por força da homologação do PRJ.</t>
  </si>
  <si>
    <t>• AVP da RJ em 2025 (R$ 257,7 M) reduz o saldo nominal do Passivo Concursal NC. Auditor BDO emitiu ressalva sobre essa metodologia.</t>
  </si>
  <si>
    <t>• Ajuste apontado pelo auditor: Passivo Contratual LFF/FFU está superavaliado em R$ 103,9 M (e o PL subavaliado em valor igual).</t>
  </si>
  <si>
    <t>Vasco SAF — Demonstração do Resultado</t>
  </si>
  <si>
    <t>Receita operacional líquida</t>
  </si>
  <si>
    <t>Custos operacionais</t>
  </si>
  <si>
    <t>Resultado bruto</t>
  </si>
  <si>
    <t>Despesas gerais e administrativas</t>
  </si>
  <si>
    <t>Outras receitas/(despesas) operacionais</t>
  </si>
  <si>
    <t>2025: inclui ~R$ 114,3 M de deságios da RJ (Nota 29.ii)</t>
  </si>
  <si>
    <t>Resultado operacional antes do financeiro</t>
  </si>
  <si>
    <t>Despesas financeiras</t>
  </si>
  <si>
    <t>Receitas financeiras</t>
  </si>
  <si>
    <t>2025: R$ 293,2 M de "descontos obtidos" = deságios da RJ (Nota 30)</t>
  </si>
  <si>
    <t>Resultado financeiro líquido</t>
  </si>
  <si>
    <t>Lucro/(Prejuízo) do exercício</t>
  </si>
  <si>
    <t>MARGENS</t>
  </si>
  <si>
    <t>Margem bruta</t>
  </si>
  <si>
    <t>Margem operacional</t>
  </si>
  <si>
    <t>Margem líquida</t>
  </si>
  <si>
    <t>• A reapresentação de 2023 (ITG 2003 R2) reclassificou vendas de atletas da Receita Operacional para "Outras Receitas Operacionais".</t>
  </si>
  <si>
    <t>• Em 2025, dos R$ 156,9 M em "Outras receitas operacionais", ~R$ 114,3 M são deságios da RJ — não relacionados à operação.</t>
  </si>
  <si>
    <t>• Em 2025, das R$ 313 M em receitas financeiras, R$ 293,2 M são "descontos obtidos" via PRJ — também deságios contábeis sem caixa.</t>
  </si>
  <si>
    <t>• O lucro de R$ 81,2 M em 2025 é integralmente atribuível aos efeitos contábeis da homologação da RJ.</t>
  </si>
  <si>
    <t>Vasco SAF — Composição da Receita por Categoria</t>
  </si>
  <si>
    <t>R$ mil | Nota 25 (2023 reapr.) | Nota 26 (2024 e 2025)</t>
  </si>
  <si>
    <t>Categoria</t>
  </si>
  <si>
    <t>Natureza</t>
  </si>
  <si>
    <t>RECEITA OPERACIONAL BRUTA</t>
  </si>
  <si>
    <t xml:space="preserve">  Direitos de transmissão</t>
  </si>
  <si>
    <t>Recorrente caixa (mas inclui apropriação histórica)</t>
  </si>
  <si>
    <t xml:space="preserve">  Bilheteria</t>
  </si>
  <si>
    <t>Recorrente caixa</t>
  </si>
  <si>
    <t xml:space="preserve">  Marketing/patrocínio</t>
  </si>
  <si>
    <t xml:space="preserve">  Programa sócio torcedor</t>
  </si>
  <si>
    <t xml:space="preserve">  Tour da Colina</t>
  </si>
  <si>
    <t xml:space="preserve">  Receitas com premiação</t>
  </si>
  <si>
    <t xml:space="preserve">  Licenciamento e royalties</t>
  </si>
  <si>
    <t xml:space="preserve">  Venda de jogos</t>
  </si>
  <si>
    <t>Recorrente caixa (novo em 2025)</t>
  </si>
  <si>
    <t xml:space="preserve">  Receitas diversas</t>
  </si>
  <si>
    <t>Recorrente</t>
  </si>
  <si>
    <t>Total receita operacional bruta</t>
  </si>
  <si>
    <t>(-) Deduções (impostos e outras)</t>
  </si>
  <si>
    <t>TRANSAÇÕES DE ATLETAS (Outras Receitas Operacionais)</t>
  </si>
  <si>
    <t xml:space="preserve">  Receita com transação de atletas</t>
  </si>
  <si>
    <t>Não-recorrente / windfall</t>
  </si>
  <si>
    <t xml:space="preserve">  Custo com transação de atletas</t>
  </si>
  <si>
    <t>Custo direto da venda</t>
  </si>
  <si>
    <t xml:space="preserve">  Outras receitas e despesas</t>
  </si>
  <si>
    <t>2025: deságios RJ alocados nesta linha (Nota 29.ii)</t>
  </si>
  <si>
    <t>Total Outras Receitas Operacionais</t>
  </si>
  <si>
    <t>DECOMPOSIÇÃO POR NATUREZA ECONÔMICA</t>
  </si>
  <si>
    <t>Receita recorrente caixa estimada (líquida)</t>
  </si>
  <si>
    <t>2023: deduzido R$ 55,5 M de apropriação luvas Globo 2016 (não-caixa). Aplicada dedução tributária proporcional.</t>
  </si>
  <si>
    <t>Apropriação não-caixa (luvas Globo 2016)</t>
  </si>
  <si>
    <t>Ganho líquido com venda de atletas</t>
  </si>
  <si>
    <t>Deságios da RJ (não-caixa, contábil)</t>
  </si>
  <si>
    <t>PARTICIPAÇÃO % DA RECEITA RECORRENTE CAIXA NO TOTAL</t>
  </si>
  <si>
    <t>Receita recorrente caixa / Receita total bruta + venda atletas</t>
  </si>
  <si>
    <t>• Em 2023, dos R$ 98,7 M de "Direitos de transmissão", ~R$ 55,5 M são amortização das luvas Globo de 2016 (Nota 20 do BP 2023). Não geraram caixa em 2023.</t>
  </si>
  <si>
    <t>• Em 2024, o contrato de luvas Globo 2016 foi exaurido — última apropriação ocorreu naquele ano.</t>
  </si>
  <si>
    <t>• Em 2025, a LFF começou a ser apropriada como receita, em ritmo de 50 anos (~R$ 4 M/ano sobre os R$ 212,1 M brutos).</t>
  </si>
  <si>
    <t>• "Sócio torcedor" caiu 13% em 2025 vs 2024 — único item recorrente em queda.</t>
  </si>
  <si>
    <t>• "Marketing/patrocínio" mais que dobrou em 2025 vs 2024, refletindo reestruturação comercial pós-saída da 777.</t>
  </si>
  <si>
    <t>• Os R$ 114,3 M de "deságios da RJ" em 2025 não são receita operacional — são reconhecimento contábil de redução de passivo concursal.</t>
  </si>
  <si>
    <t>Vasco SAF — Demonstração de Fluxo de Caixa</t>
  </si>
  <si>
    <t>R$ mil | 2023 reapresentado | método indireto</t>
  </si>
  <si>
    <t>ATIVIDADES OPERACIONAIS</t>
  </si>
  <si>
    <t>Ajustes não-caixa:</t>
  </si>
  <si>
    <t xml:space="preserve">  Amortização direitos sobre atletas</t>
  </si>
  <si>
    <t xml:space="preserve">  Baixa de atletas</t>
  </si>
  <si>
    <t xml:space="preserve">  Encargos financeiros e juros</t>
  </si>
  <si>
    <t xml:space="preserve">  Juros e multas sobre fornecedores</t>
  </si>
  <si>
    <t xml:space="preserve">  Provisões para contingências</t>
  </si>
  <si>
    <t xml:space="preserve">  Depreciação imobilizado e amortização intangível</t>
  </si>
  <si>
    <t xml:space="preserve">  Despesa de juros</t>
  </si>
  <si>
    <t xml:space="preserve">  PECLD</t>
  </si>
  <si>
    <t>O ganho de R$ 257,7 M no resultado é não-caixa (revertido aqui)</t>
  </si>
  <si>
    <t xml:space="preserve">  AVP da Recuperação Judicial</t>
  </si>
  <si>
    <t xml:space="preserve">  Variação cambial e atualização monetária</t>
  </si>
  <si>
    <t>Subtotal ajustes não-caixa</t>
  </si>
  <si>
    <t>Variações de capital de giro:</t>
  </si>
  <si>
    <t xml:space="preserve">  Obrigações sociais e trabalhistas</t>
  </si>
  <si>
    <t xml:space="preserve">  Impostos e contribuições a recolher</t>
  </si>
  <si>
    <t xml:space="preserve">  Imagem e comissões a pagar</t>
  </si>
  <si>
    <t xml:space="preserve">  Partes relacionadas</t>
  </si>
  <si>
    <t xml:space="preserve">  Atualização processos e acordos</t>
  </si>
  <si>
    <t xml:space="preserve">  RCE</t>
  </si>
  <si>
    <t>Reclassificação contábil — não é entrada de caixa real</t>
  </si>
  <si>
    <t xml:space="preserve">  Passivo Concursal — RJ</t>
  </si>
  <si>
    <t>Subtotal variações de capital de giro</t>
  </si>
  <si>
    <t>Caixa líquido das atividades operacionais (CFO)</t>
  </si>
  <si>
    <t>ATIVIDADES DE INVESTIMENTO</t>
  </si>
  <si>
    <t>Aquisições de imobilizado e intangível (atletas)</t>
  </si>
  <si>
    <t>Aplicação financeira vinculada</t>
  </si>
  <si>
    <t>Caixa líquido das atividades de investimento (CFI)</t>
  </si>
  <si>
    <t>ATIVIDADES DE FINANCIAMENTO</t>
  </si>
  <si>
    <t xml:space="preserve">  Aumento de capital (aporte 777)</t>
  </si>
  <si>
    <t xml:space="preserve">  Caixa pela assunção da dívida</t>
  </si>
  <si>
    <t xml:space="preserve">  Parcelamentos (movimentação)</t>
  </si>
  <si>
    <t xml:space="preserve">  Reserva de capital</t>
  </si>
  <si>
    <t>2025: inclui R$ 80 M de DIP Banco Crefisa</t>
  </si>
  <si>
    <t xml:space="preserve">  Captação de empréstimos</t>
  </si>
  <si>
    <t xml:space="preserve">  Pagamento de empréstimos e arrendamentos</t>
  </si>
  <si>
    <t>Caixa líquido das atividades de financiamento (CFF)</t>
  </si>
  <si>
    <t>Variação líquida de caixa</t>
  </si>
  <si>
    <t>Caixa inicial</t>
  </si>
  <si>
    <t>Caixa final</t>
  </si>
  <si>
    <t>Vasco SAF — Reconciliação para Operacional Recorrente Puro</t>
  </si>
  <si>
    <t>EBITDA reportado vs. EBITDA recorrente puro (ex-deságios RJ, ex-vendas atletas, ex-apropriação histórica)</t>
  </si>
  <si>
    <t>PARTIDA — DRE REPORTADA</t>
  </si>
  <si>
    <t xml:space="preserve">  (+) Amortização direitos sobre atletas (custo)</t>
  </si>
  <si>
    <t xml:space="preserve">  (+) Depreciação e amortização (DGA)</t>
  </si>
  <si>
    <t>Estimativa de outras amortizações dentro de custos operacionais</t>
  </si>
  <si>
    <t xml:space="preserve">  (+) Outras amortizações (custo, baixa atletas)</t>
  </si>
  <si>
    <t>EBITDA reportado</t>
  </si>
  <si>
    <t>AJUSTES PARA OPERACIONAL RECORRENTE PURO</t>
  </si>
  <si>
    <t xml:space="preserve">  (-) Receita com transação de atletas</t>
  </si>
  <si>
    <t xml:space="preserve">  (+) Custo com transação de atletas</t>
  </si>
  <si>
    <t>Subtotal: ganho líquido venda atletas (a remover)</t>
  </si>
  <si>
    <t>Nota 29.ii do BP 2025: deságios PRJ alocados aqui</t>
  </si>
  <si>
    <t xml:space="preserve">  (-) Deságios da RJ em "Outras Receitas Operacionais"</t>
  </si>
  <si>
    <t>Receita histórica reconhecida — sem caixa em 2023</t>
  </si>
  <si>
    <t xml:space="preserve">  (-) Apropriação luvas Globo 2016 (não-caixa)</t>
  </si>
  <si>
    <t>EBITDA recorrente puro (operação sem windfall)</t>
  </si>
  <si>
    <t>Receita líquida operacional pura (recorrente caixa)</t>
  </si>
  <si>
    <t>Margem EBITDA recorrente puro / receita recorrente caixa</t>
  </si>
  <si>
    <t>GAP A FECHAR (ESTRUTURAL)</t>
  </si>
  <si>
    <t>Gap operacional puro ao ano (= -EBITDA puro)</t>
  </si>
  <si>
    <t>Quanto a operação recorrente "queima" por ano antes de juros, tributos e capex em atletas</t>
  </si>
  <si>
    <t>Cobertura por venda atletas (líq.)</t>
  </si>
  <si>
    <t>Gap residual (após venda atletas)</t>
  </si>
  <si>
    <t>• EBITDA reportado de 2024 (R$ 38,7 M positivo) é a métrica destacada no Relatório da Administração — mas inclui R$ 95 M de ganho líquido com venda de atletas.</t>
  </si>
  <si>
    <t>• EBITDA reportado de 2025 (~R$ 3 M) inclui R$ 114 M de deságios contábeis da RJ + R$ 43 M de ganho líquido venda de atletas.</t>
  </si>
  <si>
    <t>• EBITDA recorrente puro mede a operação como negócio em estado de regime — sem ganhos pontuais de venda de atletas e sem efeitos contábeis da RJ.</t>
  </si>
  <si>
    <t>• O gap residual indica quanto de capital novo (aporte ou dívida nova) é necessário ao ano para a operação recorrente fechar — assumindo que venda de atletas se mantenha.</t>
  </si>
  <si>
    <t>• Em 2025 o gap residual cresceu — efeito (i) custos disparando, (ii) provisão para contingências subindo de R$ 9,6 M para R$ 69 M na DGA, (iii) ganho de venda de atletas caindo (Rayan veio só em 2026).</t>
  </si>
  <si>
    <t>Vasco SAF — Indicadores Chave</t>
  </si>
  <si>
    <t>Síntese para o post</t>
  </si>
  <si>
    <t>Indicador</t>
  </si>
  <si>
    <t>Comentário</t>
  </si>
  <si>
    <t>LIQUIDEZ</t>
  </si>
  <si>
    <t>Caixa final (R$ mil)</t>
  </si>
  <si>
    <t>Capital circulante líquido (AC - PC)</t>
  </si>
  <si>
    <t>Caixa final como % da receita líquida</t>
  </si>
  <si>
    <t>ENDIVIDAMENTO</t>
  </si>
  <si>
    <t>PL (passivo a descoberto)</t>
  </si>
  <si>
    <t>Dívida histórica assumida (registro contábil)</t>
  </si>
  <si>
    <t>Capital a integralizar (777, em aberto)</t>
  </si>
  <si>
    <t>Empréstimos e financiamentos totais</t>
  </si>
  <si>
    <t>2025: inclui DIP Crefisa de R$ 80 M</t>
  </si>
  <si>
    <t>OPERACIONAL</t>
  </si>
  <si>
    <t>Receita operacional líquida (R$ mil)</t>
  </si>
  <si>
    <t>EBITDA recorrente puro</t>
  </si>
  <si>
    <t>Gap residual após venda atletas (R$ mil/ano)</t>
  </si>
  <si>
    <t>INVESTIMENTO E FOLHA</t>
  </si>
  <si>
    <t>Capex em atletas + imobilizado (R$ mil)</t>
  </si>
  <si>
    <t>Folha consolidada (custo + DGA)</t>
  </si>
  <si>
    <t>Folha mensal média (R$ mil)</t>
  </si>
  <si>
    <t>Folha como % da receita operacional líquida</t>
  </si>
  <si>
    <t>OPINIÃO DO AUDITOR</t>
  </si>
  <si>
    <t>Auditor</t>
  </si>
  <si>
    <t>Grant Thornton</t>
  </si>
  <si>
    <t>BDO RCS</t>
  </si>
  <si>
    <t>Tipo de opinião</t>
  </si>
  <si>
    <t>Sem ressalvas (com ênfase)</t>
  </si>
  <si>
    <t>Abstenção de opinião</t>
  </si>
  <si>
    <t>Com ressalva</t>
  </si>
  <si>
    <t>Razão da limitação</t>
  </si>
  <si>
    <t>Continuidade operacional dependia de aportes 777</t>
  </si>
  <si>
    <t>PRJ não aprovado; impairment não testado; doc. suporte</t>
  </si>
  <si>
    <t>AVP RJ não validado; LFF/FFU superavaliada R$ 104 M</t>
  </si>
  <si>
    <t>SÍNTESE PARA A TESE DO POST</t>
  </si>
  <si>
    <t>Pergunta-tese: "O Vasco SAF tem geração de caixa recorrente suficiente para sobreviver sozinho, ou precisa vender a SAF o quanto antes?"
Resposta dos números nos 3 anos completos da SAF:
• EBITDA recorrente puro foi negativo em todos os anos (entre R$ -57 M e R$ -154 M).
• A operação só fechou caixa em 2023-2024 graças aos aportes da 777 e à entrada da LFF.
• Em 2025, só fechou caixa com R$ 80 M de DIP do Banco Crefisa.
• O lucro de R$ 81 M em 2025 é 100% decorrente da homologação da RJ — sem caixa associado.
• A operação recorrente puro não fechou nem com 47% de crescimento de receita líquida em 2025.
Conclusão: a primeira parte da tese é resolvida pelos balanços. A SAF não tem geração suficiente para sobreviver sozinha. A segunda parte ("o quanto antes") depende de quão rápido o capital novo precisa entrar — questão que está em aberto e é o conteúdo prospectivo do post.</t>
  </si>
  <si>
    <t>Vasco SAF — Premissas Modelo de Runway 2026</t>
  </si>
  <si>
    <t>Edite as células em azul para sensibilizar o modelo. R$ mil quando aplicável.</t>
  </si>
  <si>
    <t>Otimista</t>
  </si>
  <si>
    <t>Base</t>
  </si>
  <si>
    <t>Pessimista</t>
  </si>
  <si>
    <t>Lógica</t>
  </si>
  <si>
    <t>RECEITA OPERACIONAL</t>
  </si>
  <si>
    <t>Δ% receita recorrente líquida 2026 vs 2025</t>
  </si>
  <si>
    <t>Otim: leve / Base: moderada / Pess: forte (sem patrocínio master + bilheteria/premiação 2025 inflacionadas pela final no Maracanã)</t>
  </si>
  <si>
    <t>FOLHA AMPLIADA (salários + encargos + direito de imagem)</t>
  </si>
  <si>
    <t>Δ% folha ampliada 2026 vs 2025</t>
  </si>
  <si>
    <t>Otim: corte forte (saída Rayan, Coutinho, Vegetti sem reposição) / Base e Pess: moderada (saídas com reposições parciais)</t>
  </si>
  <si>
    <t>VENDA RAYAN — RECEBIMENTOS</t>
  </si>
  <si>
    <t>Valor bruto Rayan (R$ mil)</t>
  </si>
  <si>
    <t>Valor anunciado/estimado Bournemouth</t>
  </si>
  <si>
    <t>(-) Comissões agentes (% do bruto)</t>
  </si>
  <si>
    <t>Padrão de mercado: ~10-15% para agentes</t>
  </si>
  <si>
    <t>(-) Solidariedade FIFA + clubes formadores + outras participações</t>
  </si>
  <si>
    <t>Inclui solidariedade FIFA (5%), clubes formadores e participação de terceiros — total para chegar no líquido reportado de ~R$ 153M</t>
  </si>
  <si>
    <t>(-) TEF (5% receita caixa, regime especial)</t>
  </si>
  <si>
    <t>Vendas de atletas FORA da base do TEF até 2027 (Nota 2.9 do BP 2023)</t>
  </si>
  <si>
    <t>% do bruto recebido em 2026 (lag de pagamento)</t>
  </si>
  <si>
    <t>Recebimento à vista — condição da venda do Rayan ao Bournemouth</t>
  </si>
  <si>
    <t>CAPEX EM ATLETAS</t>
  </si>
  <si>
    <t>Capex em atletas 2026 (R$ mil)</t>
  </si>
  <si>
    <t>Conservador: foco em base + empréstimos / Moderado: reposição plena de Rayan, Coutinho, Vegetti</t>
  </si>
  <si>
    <t>% capex pago à vista no ano (lag fornecedores)</t>
  </si>
  <si>
    <t>Vasco historicamente paga 30-50% à vista, resto a prazo</t>
  </si>
  <si>
    <t>OUTROS CUSTOS E DESPESAS OPERACIONAIS</t>
  </si>
  <si>
    <t>Outros custos operacionais 2026 (R$ mil)</t>
  </si>
  <si>
    <t>Jogos, materiais, manutenção, serviços profissionais (ex-folha, ex-imagem)</t>
  </si>
  <si>
    <t>DGA (ex-salários, ex-provisões): serviços, manutenção, etc.</t>
  </si>
  <si>
    <t>Em 2025 a DGA ex-salários foi ~R$ 130M, dos quais R$ 69M de provisões — exclui-se provisões pra projetar caixa</t>
  </si>
  <si>
    <t>PAGAMENTOS DA RECUPERAÇÃO JUDICIAL</t>
  </si>
  <si>
    <t>Trabalhistas Classe I (10 anos IPCA+2%, trim.)</t>
  </si>
  <si>
    <t>Sem deságio. Estimativa baseada na proporção do passivo trab. dentro do total RJ</t>
  </si>
  <si>
    <t>Trabalhistas não-colab. (92% deságio em 12m)</t>
  </si>
  <si>
    <t>Concentrado em 2026 (12 meses) limitado a 150 SM por credor</t>
  </si>
  <si>
    <t>Federações (3 anos integral, IPCA)</t>
  </si>
  <si>
    <t>Sem deságio, pago em 3 anos (~R$ 12-15M total / 3)</t>
  </si>
  <si>
    <t>Direito de imagem (9 anos, 30% deságio, IPCA)</t>
  </si>
  <si>
    <t>Direitos de imagem retidos no PRJ pagos em 9 anos com 30% de desconto</t>
  </si>
  <si>
    <t>Outros (CNRD, fornecedores parceiros, clubes parceiros)</t>
  </si>
  <si>
    <t>Quirografários Classe III (90% deságio, 36m carência) — R$ 0 em 2026 ainda</t>
  </si>
  <si>
    <t>Subtotal pagamentos RJ 2026</t>
  </si>
  <si>
    <t>OUTRAS SAÍDAS DE CAIXA RECORRENTES</t>
  </si>
  <si>
    <t>Parcelamentos não-RJ (PGFN/RFB/CEDAE) — fora do PRJ</t>
  </si>
  <si>
    <t>Cronograma da Nota 16 do BP 2023: ~R$ 38M/ano até 2028</t>
  </si>
  <si>
    <t>Imagem e transações de atletas a pagar (parcelas anteriores)</t>
  </si>
  <si>
    <t>Saldo no BP 2025 = R$ 113M circulante. Otim: pagamento moderado / Pess: pagamento integral + juros</t>
  </si>
  <si>
    <t>Serviço da DIP Crefisa (juros + parte do principal)</t>
  </si>
  <si>
    <t>R$ 80M principal + spread DIP típico ~CDI+8-12% a.a. — pagamento parcelado em 24-36 meses</t>
  </si>
  <si>
    <t>Tributos da operação (TEF 5% s/ receita caixa)</t>
  </si>
  <si>
    <t>TEF 5% sobre receita recorrente bruta proporcional ao cenário</t>
  </si>
  <si>
    <t>Convenções:</t>
  </si>
  <si>
    <t>• Células em AZUL/AMARELO são editáveis. Pretas são fórmulas.</t>
  </si>
  <si>
    <t>• Cenário Otimista pressupõe gestão agressiva de custos + janela favorável.</t>
  </si>
  <si>
    <t>• Cenário Pessimista pressupõe a soma das pressões: receita cai forte + folha não consegue cortar tanto + capex alto.</t>
  </si>
  <si>
    <t>• Cenário Base é o "esperado" dadas as informações disponíveis em mai/2026.</t>
  </si>
  <si>
    <t>═══ PREMISSAS PARA 2027 ═══</t>
  </si>
  <si>
    <t>Δ% receita recorrente líquida 2027 vs 2026</t>
  </si>
  <si>
    <t>Otim: estabilidade / Base: queda residual / Pess: continua queda</t>
  </si>
  <si>
    <t>Δ% folha ampliada 2027 vs 2026</t>
  </si>
  <si>
    <t>Otim: estabilidade pós-corte / Base/Pess: cresce com reposições</t>
  </si>
  <si>
    <t>Andrés Gómez 2027 — valor líquido (R$ mil)</t>
  </si>
  <si>
    <t>17-18M€ × ~6,2 R$/€ × (1-15% deduções) — Vasco com percentual integral</t>
  </si>
  <si>
    <t>Outras vendas + repasses 2027 (R$ mil)</t>
  </si>
  <si>
    <t>Vendas médias da base + parcelas pendentes de outras vendas (Rayan recebido à vista em 2026)</t>
  </si>
  <si>
    <t>Capex em atletas 2027 (R$ mil)</t>
  </si>
  <si>
    <t>SSF para clubes em RJ exige janela neutra: capex ≤ venda atletas</t>
  </si>
  <si>
    <t>Outros custos operacionais 2027 (R$ mil)</t>
  </si>
  <si>
    <t>Pequeno crescimento por inflação e custos operacionais</t>
  </si>
  <si>
    <t>DGA caixa 2027 (R$ mil)</t>
  </si>
  <si>
    <t>DGA ex-salários, ex-provisões. Pequeno crescimento por inflação</t>
  </si>
  <si>
    <t>Pagamentos RJ 2027 totais (R$ mil)</t>
  </si>
  <si>
    <t>Crescimento vs 2026 por IPCA + entrada gradual de novas classes (CNRD, fornecedores)</t>
  </si>
  <si>
    <t>Parcelamentos não-RJ 2027</t>
  </si>
  <si>
    <t>Cronograma estável até 2028 (Nota 16 do BP 2023)</t>
  </si>
  <si>
    <t>Imagem e transações de atletas 2027</t>
  </si>
  <si>
    <t>Parcelas remanescentes de janelas 2024-2026</t>
  </si>
  <si>
    <t>DIP Crefisa 2027 (juros + amortização final)</t>
  </si>
  <si>
    <t>Saldo remanescente do DIP + juros (DIP típico tem prazo 24-36 meses)</t>
  </si>
  <si>
    <t>TEF 2027 (5% receita recorrente caixa)</t>
  </si>
  <si>
    <t>Vendas atletas continuam isentas em 2027</t>
  </si>
  <si>
    <t>Vasco SAF — Modelo de Runway 2026</t>
  </si>
  <si>
    <t>Demonstração simplificada de fluxo de caixa por cenário. Valores em R$ mil.</t>
  </si>
  <si>
    <t>Memória de cálculo</t>
  </si>
  <si>
    <t>Otim 2027</t>
  </si>
  <si>
    <t>Base 2027</t>
  </si>
  <si>
    <t>Pess 2027</t>
  </si>
  <si>
    <t>Caixa inicial (2026: caixa final 2025; 2027: assume = 0 com gap 2026 coberto por financiamento)</t>
  </si>
  <si>
    <t>ENTRADAS DE CAIXA</t>
  </si>
  <si>
    <t>Receita recorrente líquida 2026 (entrada caixa)</t>
  </si>
  <si>
    <t>R$ 414M (rec. líq. 2025) × (1+Δ%) × 95% (lag de 30 dias)</t>
  </si>
  <si>
    <t>Recebimento Rayan (parcelas remanescentes em 2027)</t>
  </si>
  <si>
    <t>Bruto × (1 - comissão - solidariedade) × % recebido em 2026</t>
  </si>
  <si>
    <t>Andrés Gómez + outras vendas atletas 2027</t>
  </si>
  <si>
    <t>Parcelas pendentes de João Victor, Luiz Gustavo, Erick Marcus etc.</t>
  </si>
  <si>
    <t>Total entradas de caixa 2026</t>
  </si>
  <si>
    <t>SAÍDAS DE CAIXA</t>
  </si>
  <si>
    <t>Folha ampliada 2026 (salários + encargos + imagem)</t>
  </si>
  <si>
    <t>R$ 315M (folha ampliada 2025) × (1+Δ%)</t>
  </si>
  <si>
    <t>Outros custos operacionais (jogos, materiais, manut., serviços)</t>
  </si>
  <si>
    <t>Premissa direta da aba Premissas</t>
  </si>
  <si>
    <t>DGA caixa (ex-salários, ex-provisões)</t>
  </si>
  <si>
    <t>Capex em atletas pago à vista em 2026</t>
  </si>
  <si>
    <t>Capex × % à vista. Restante vai para "imagem e transações de atletas a pagar" em 2027+</t>
  </si>
  <si>
    <t>Pagamentos da RJ (Classe I, Federações, Imagem, etc.)</t>
  </si>
  <si>
    <t>Subtotal RJ da aba Premissas (Classes I, Fed, Imagem, Outros)</t>
  </si>
  <si>
    <t>Parcelamentos não-RJ (PGFN/RFB/CEDAE)</t>
  </si>
  <si>
    <t>Estável (~R$ 38M/ano por 5 anos)</t>
  </si>
  <si>
    <t>Imagem e transações de atletas a pagar (parcelas)</t>
  </si>
  <si>
    <t>Saldo do BP 2025 (R$ 113M circ + R$ 5M NC) saindo no ano</t>
  </si>
  <si>
    <t>Serviço da DIP Crefisa (juros + amortização)</t>
  </si>
  <si>
    <t>R$ 80M principal sendo amortizado em 24-36m + juros</t>
  </si>
  <si>
    <t>TEF (5% s/ receita recorrente caixa)</t>
  </si>
  <si>
    <t>Vendas de atletas isentas até 2027 (Lei 14.193/21)</t>
  </si>
  <si>
    <t>Total saídas de caixa 2026</t>
  </si>
  <si>
    <t>RESULTADO DO ANO</t>
  </si>
  <si>
    <t>Variação líquida de caixa 2026</t>
  </si>
  <si>
    <t>Caixa final 2026 (antes de novo financiamento)</t>
  </si>
  <si>
    <t>MÉTRICAS DE PRESSÃO</t>
  </si>
  <si>
    <t>Burn mensal médio (saídas - entradas) / 12</t>
  </si>
  <si>
    <t>Quanto a SAF queima por mês quando saídas &gt; entradas</t>
  </si>
  <si>
    <t>Runway estimado (meses até zerar caixa)</t>
  </si>
  <si>
    <t>Caixa inicial / burn mensal. "sustentável" significa CFO positivo</t>
  </si>
  <si>
    <t>Necessidade adicional de financiamento em 2026</t>
  </si>
  <si>
    <t>Quanto de novo aporte/dívida/venda extra precisa entrar no ano</t>
  </si>
  <si>
    <t>LEITURA PARA O POST</t>
  </si>
  <si>
    <t>Mesmo no cenário Otimista (Vasco corta folha agressivamente, contração de receita é leve, Rayan recebe 65% do bruto em 2026, capex baixo), a operação aproxima-se do equilíbrio mas depende do calibre exato das premissas. Nos cenários Base e Pessimista, a SAF entra em novo aperto de caixa em 2026 mesmo com a venda do Rayan. 
A leitura central é que a venda do Rayan resolve 2026 nos cenários intermediários, mas não cria capacidade estrutural de geração de caixa: ela apenas compensa a queda de receita recorrente e os pagamentos da RJ. Em 2027 (sem outro Rayan), o gap estrutural reaparece. 
Pro post: a contraposição é "vender atletas vez por ano para tampar buraco" vs "vender a SAF (UPI ou via A-CAP) para desfazer o buraco de uma vez".</t>
  </si>
  <si>
    <t>Vasco SAF — Resumo dos 3 Cenários</t>
  </si>
  <si>
    <t>Visão consolidada: o que cada cenário diz sobre 2026.</t>
  </si>
  <si>
    <t>PREMISSAS-CHAVE</t>
  </si>
  <si>
    <t>Δ% receita recorrente líquida</t>
  </si>
  <si>
    <t>Δ% folha ampliada</t>
  </si>
  <si>
    <t>Capex em atletas (R$ mil)</t>
  </si>
  <si>
    <t>% bruto Rayan recebido em 2026</t>
  </si>
  <si>
    <t>RESULTADOS CALCULADOS</t>
  </si>
  <si>
    <t>Total entradas de caixa 2026 (R$ mil)</t>
  </si>
  <si>
    <t>Total saídas de caixa 2026 (R$ mil)</t>
  </si>
  <si>
    <t>Variação de caixa no ano (R$ mil)</t>
  </si>
  <si>
    <t>Caixa final 2026 antes de novo financiamento (R$ mil)</t>
  </si>
  <si>
    <t>Necessidade adicional de financiamento (R$ mil)</t>
  </si>
  <si>
    <t>Vasco SAF — Caminho A: Trajetória até Competitividade Financeira</t>
  </si>
  <si>
    <t>Atendimento das 4 condições mínimas em cada cenário (2025 atual / 2026 / 2027). R$ mil quando aplicável.</t>
  </si>
  <si>
    <t>Otim 2026</t>
  </si>
  <si>
    <t>Base 2026</t>
  </si>
  <si>
    <t>Pess 2026</t>
  </si>
  <si>
    <t>Meta</t>
  </si>
  <si>
    <t>RECEITA OPERACIONAL LÍQUIDA (R$ mil)</t>
  </si>
  <si>
    <t>Receita líquida operacional</t>
  </si>
  <si>
    <t>CONDIÇÃO 1 — Folha ampliada ≤ 65% da receita</t>
  </si>
  <si>
    <t>Folha ampliada (R$ mil)</t>
  </si>
  <si>
    <t>Folha / Receita líquida</t>
  </si>
  <si>
    <t>≤ 65%</t>
  </si>
  <si>
    <t>Atende?</t>
  </si>
  <si>
    <t>CONDIÇÃO 2 — EBITDA recorrente puro positivo (≥ +5%)</t>
  </si>
  <si>
    <t>EBITDA recorrente puro (R$ mil)</t>
  </si>
  <si>
    <t>Margem EBITDA recorrente puro</t>
  </si>
  <si>
    <t>≥ +5%</t>
  </si>
  <si>
    <t>CONDIÇÃO 3 — Capex em atletas ≤ venda de atletas (autofinanciamento)</t>
  </si>
  <si>
    <t>Capex em atletas total (R$ mil)</t>
  </si>
  <si>
    <t>Receita venda atletas (R$ mil)</t>
  </si>
  <si>
    <t>Capex / Venda (múltiplo)</t>
  </si>
  <si>
    <t>≤ 1,00x</t>
  </si>
  <si>
    <t>CONDIÇÃO 4 — Caixa ≥ 1 mês de saídas operacionais</t>
  </si>
  <si>
    <t>Caixa final do ano (R$ mil)</t>
  </si>
  <si>
    <t>Saídas mensais médias (R$ mil/mês)</t>
  </si>
  <si>
    <t>Caixa em meses de saídas</t>
  </si>
  <si>
    <t>≥ 1 mês</t>
  </si>
  <si>
    <t>SÍNTESE — Quantas condições atende?</t>
  </si>
  <si>
    <t>Total condições atendidas (de 4)</t>
  </si>
  <si>
    <t>• "Folha ampliada" inclui salários, encargos, direitos de imagem (custos operacionais + DGA), excluindo amortização de atletas.</t>
  </si>
  <si>
    <t>• "Capex em atletas" é o valor total de aquisições do ano (não apenas a parte paga à vista).</t>
  </si>
  <si>
    <t>• "Saídas mensais médias" = total saídas operacionais ÷ 12. Inclui pagamentos da RJ, parcelamentos, DIP, etc.</t>
  </si>
  <si>
    <t>• Capex/Venda em 2025 = 1,68x (162M comprou / 96M vendeu) — não atende a meta de autofinanciamento.</t>
  </si>
  <si>
    <t>• EBITDA recorrente puro = receita líquida − folha − outros custos − DGA (sem amortização nem provisões).</t>
  </si>
  <si>
    <t>• Caixa final 2026 e 2027 considera "antes de novo financiamento" — onde negativo, há gap.</t>
  </si>
  <si>
    <t>• Em 2027, o caixa inicial é assumido como 0 (premissa: gap 2026 coberto exatamente por financiamento).</t>
  </si>
  <si>
    <t>Vasco SAF — Conformidade com SSF (Sistema de Sustentabilidade Financeira da CBF)</t>
  </si>
  <si>
    <t>Limites regulatórios em vigor a partir de 2026 para clubes Série A. R$ mil quando aplicável.</t>
  </si>
  <si>
    <t>Limite SSF</t>
  </si>
  <si>
    <t>PILAR 2 SSF — Custos com elenco / (Receita + Vendas + Aportes)</t>
  </si>
  <si>
    <t>Custos com elenco (= folha ampliada + amortização atletas)</t>
  </si>
  <si>
    <t>Receita relevante (líquida + venda atletas + aportes)</t>
  </si>
  <si>
    <t>Custos elenco / Receita relevante</t>
  </si>
  <si>
    <t>≤ 80% em 2028 / ≤ 70% em 2029</t>
  </si>
  <si>
    <t>Atende limite 2028 (≤ 80%)?</t>
  </si>
  <si>
    <t>Atende limite 2029 (≤ 70%)?</t>
  </si>
  <si>
    <t>PILAR 1 SSF — Equilíbrio operacional (déficit ≤ R$ 30M ou 2,5% receita)</t>
  </si>
  <si>
    <t>Resultado operacional (R$ mil)</t>
  </si>
  <si>
    <t>Limite máximo de déficit (R$ 30M ou 2,5% receita)</t>
  </si>
  <si>
    <t>Maior valor entre R$ 30M e 2,5% da receita</t>
  </si>
  <si>
    <t>Aproximação: receita relevante − elenco − outros op − DGA</t>
  </si>
  <si>
    <t>REGRA ESPECIAL RJ — Janela neutra (capex ≤ venda atletas)</t>
  </si>
  <si>
    <t>Capex / Venda atletas (mesma da Condição 3 do Caminho A)</t>
  </si>
  <si>
    <t>≤ 1,00x (regra para clubes em RJ)</t>
  </si>
  <si>
    <t>REGRA ESPECIAL RJ — Folha congelada (média últimos 6m)</t>
  </si>
  <si>
    <t>Folha mensal média do ano (R$ mil/mês)</t>
  </si>
  <si>
    <t>Limite: nível de outubro/2025 a março/2026</t>
  </si>
  <si>
    <t>LEITURA</t>
  </si>
  <si>
    <t>O SSF (Sistema de Sustentabilidade Financeira da CBF) entra em vigor em 1º de janeiro de 2026. Anos de transição (2026-2027) só geram advertências. Aplicação plena começa em 2028.
O Vasco em 2025 já operaria acima do limite de 2028 (80%) na métrica de custos com elenco — folha ampliada + amortização sobre receita relevante chegou a 86%. Para conformidade, o caminho é o mesmo da competitividade financeira do Caminho A: cortar folha em proporção da receita.
Regras especiais para clubes em RJ a partir de 30/04/2026:
• Folha congelada na média dos últimos 6 meses
• Janela de transferências com balanço zero ou positivo (capex ≤ venda atletas)
• Acordo de reestruturação compatível com SSF
Estas regras coincidem com o que o caminho A naturalmente exige. A disciplina forçada pelo SSF reforça o que o clube precisaria fazer de qualquer forma — apenas tira a margem de manobra para "voltar a contratar caro" quando o desempenho esportivo melhorar.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</si>
</sst>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;\(#,##0\);\-"/>
    <numFmt numFmtId="165" formatCode="0.0%;\(0.0%\);\-"/>
    <numFmt numFmtId="166" formatCode="0.00\x"/>
    <numFmt numFmtId="167" formatCode="0.0;&quot;(não aplicável)&quot;;\-"/>
    <numFmt numFmtId="168" formatCode="0.00&quot; meses&quot;"/>
    <numFmt numFmtId="169" formatCode="0&quot; / 4&quot;"/>
  </numFmts>
  <fonts count="15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i/>
      <sz val="10"/>
      <color rgb="FF333333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9"/>
      <color rgb="FFC00000"/>
      <name val="Arial"/>
      <charset val="1"/>
    </font>
    <font>
      <sz val="9"/>
      <name val="Arial"/>
      <charset val="1"/>
    </font>
    <font>
      <i/>
      <sz val="10"/>
      <color rgb="FF666666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8E1"/>
      </patternFill>
    </fill>
    <fill>
      <patternFill patternType="solid">
        <fgColor rgb="FFFFF2CC"/>
        <bgColor rgb="FFFFF8E1"/>
      </patternFill>
    </fill>
    <fill>
      <patternFill patternType="solid">
        <fgColor rgb="FF548235"/>
        <bgColor rgb="FF666666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FF8E1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42">
    <xf numFmtId="0" fontId="0" fillId="0" borderId="0" xfId="0"/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164" fontId="10" fillId="4" borderId="0" xfId="0" applyNumberFormat="1" applyFont="1" applyFill="1" applyAlignment="1">
      <alignment horizontal="right" vertical="center"/>
    </xf>
    <xf numFmtId="165" fontId="9" fillId="4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right" vertical="center"/>
    </xf>
    <xf numFmtId="164" fontId="11" fillId="4" borderId="0" xfId="0" applyNumberFormat="1" applyFont="1" applyFill="1" applyAlignment="1">
      <alignment horizontal="right" vertical="center"/>
    </xf>
    <xf numFmtId="0" fontId="12" fillId="5" borderId="0" xfId="0" applyFont="1" applyFill="1" applyAlignment="1">
      <alignment horizontal="left" wrapText="1"/>
    </xf>
    <xf numFmtId="0" fontId="13" fillId="0" borderId="0" xfId="0" applyFont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164" fontId="9" fillId="0" borderId="0" xfId="0" applyNumberFormat="1" applyFont="1" applyAlignment="1">
      <alignment horizontal="right" vertical="center"/>
    </xf>
    <xf numFmtId="2" fontId="9" fillId="0" borderId="0" xfId="0" applyNumberFormat="1" applyFont="1" applyAlignment="1">
      <alignment horizontal="right" vertical="center"/>
    </xf>
    <xf numFmtId="0" fontId="7" fillId="0" borderId="0" xfId="0" applyFont="1"/>
    <xf numFmtId="0" fontId="7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5" fontId="8" fillId="9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 wrapText="1"/>
    </xf>
    <xf numFmtId="164" fontId="8" fillId="9" borderId="0" xfId="0" applyNumberFormat="1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0" fontId="5" fillId="0" borderId="0" xfId="0" applyFont="1"/>
    <xf numFmtId="167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/>
    <xf numFmtId="168" fontId="9" fillId="0" borderId="0" xfId="0" applyNumberFormat="1" applyFont="1" applyAlignment="1">
      <alignment horizontal="right" vertical="center"/>
    </xf>
    <xf numFmtId="169" fontId="5" fillId="0" borderId="0" xfId="0" applyNumberFormat="1" applyFont="1" applyAlignment="1">
      <alignment horizontal="center" vertical="center"/>
    </xf>
    <xf numFmtId="43" fontId="1" fillId="0" borderId="0" xfId="1" applyAlignment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8E1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zoomScaleNormal="100" workbookViewId="0"/>
  </sheetViews>
  <sheetFormatPr defaultColWidth="8.7109375" defaultRowHeight="15" x14ac:dyDescent="0.25"/>
  <cols>
    <col min="1" max="1" width="48" customWidth="1"/>
    <col min="2" max="4" width="16" customWidth="1"/>
    <col min="5" max="5" width="12" customWidth="1"/>
    <col min="6" max="6" width="50" customWidth="1"/>
  </cols>
  <sheetData>
    <row r="1" spans="1:6" ht="17.25" customHeight="1" x14ac:dyDescent="0.25">
      <c r="A1" s="3" t="s">
        <v>0</v>
      </c>
    </row>
    <row r="2" spans="1:6" ht="15" customHeight="1" x14ac:dyDescent="0.25">
      <c r="A2" s="4" t="s">
        <v>1</v>
      </c>
    </row>
    <row r="4" spans="1:6" ht="1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15" customHeight="1" x14ac:dyDescent="0.25">
      <c r="A5" s="6" t="s">
        <v>8</v>
      </c>
    </row>
    <row r="6" spans="1:6" ht="15" customHeight="1" x14ac:dyDescent="0.25">
      <c r="A6" s="7" t="s">
        <v>9</v>
      </c>
    </row>
    <row r="7" spans="1:6" ht="15" customHeight="1" x14ac:dyDescent="0.25">
      <c r="A7" s="8" t="s">
        <v>10</v>
      </c>
      <c r="B7" s="9">
        <v>79926</v>
      </c>
      <c r="C7" s="9">
        <v>28504</v>
      </c>
      <c r="D7" s="9">
        <v>60344</v>
      </c>
      <c r="E7" s="10">
        <f t="shared" ref="E7:E15" si="0">IFERROR((D7-C7)/ABS(C7),"")</f>
        <v>1.1170362054448499</v>
      </c>
    </row>
    <row r="8" spans="1:6" ht="15" customHeight="1" x14ac:dyDescent="0.25">
      <c r="A8" s="8" t="s">
        <v>11</v>
      </c>
      <c r="B8" s="9">
        <v>74426</v>
      </c>
      <c r="C8" s="9">
        <v>127836</v>
      </c>
      <c r="D8" s="9">
        <v>83339</v>
      </c>
      <c r="E8" s="10">
        <f t="shared" si="0"/>
        <v>-0.34807878844769863</v>
      </c>
    </row>
    <row r="9" spans="1:6" ht="15" customHeight="1" x14ac:dyDescent="0.25">
      <c r="A9" s="8" t="s">
        <v>12</v>
      </c>
      <c r="B9" s="9">
        <v>10850</v>
      </c>
      <c r="C9" s="9">
        <v>29954</v>
      </c>
      <c r="D9" s="9">
        <v>24914</v>
      </c>
      <c r="E9" s="10">
        <f t="shared" si="0"/>
        <v>-0.16825799559324298</v>
      </c>
    </row>
    <row r="10" spans="1:6" ht="15" customHeight="1" x14ac:dyDescent="0.25">
      <c r="A10" s="8" t="s">
        <v>13</v>
      </c>
      <c r="B10" s="9">
        <v>1017</v>
      </c>
      <c r="C10" s="9">
        <v>1075</v>
      </c>
      <c r="D10" s="9">
        <v>3837</v>
      </c>
      <c r="E10" s="10">
        <f t="shared" si="0"/>
        <v>2.5693023255813952</v>
      </c>
    </row>
    <row r="11" spans="1:6" ht="15" customHeight="1" x14ac:dyDescent="0.25">
      <c r="A11" s="8" t="s">
        <v>14</v>
      </c>
      <c r="B11" s="9">
        <v>1624</v>
      </c>
      <c r="C11" s="9">
        <v>3238</v>
      </c>
      <c r="D11" s="9">
        <v>5665</v>
      </c>
      <c r="E11" s="10">
        <f t="shared" si="0"/>
        <v>0.74953675108091411</v>
      </c>
    </row>
    <row r="12" spans="1:6" ht="15" customHeight="1" x14ac:dyDescent="0.25">
      <c r="A12" s="8" t="s">
        <v>15</v>
      </c>
      <c r="B12" s="9">
        <v>4114</v>
      </c>
      <c r="C12" s="9">
        <v>681</v>
      </c>
      <c r="D12" s="9">
        <v>817</v>
      </c>
      <c r="E12" s="10">
        <f t="shared" si="0"/>
        <v>0.19970631424375918</v>
      </c>
    </row>
    <row r="13" spans="1:6" ht="15" customHeight="1" x14ac:dyDescent="0.25">
      <c r="A13" s="8" t="s">
        <v>16</v>
      </c>
      <c r="B13" s="9">
        <v>116</v>
      </c>
      <c r="C13" s="9">
        <v>121</v>
      </c>
      <c r="D13" s="9">
        <v>591</v>
      </c>
      <c r="E13" s="10">
        <f t="shared" si="0"/>
        <v>3.884297520661157</v>
      </c>
    </row>
    <row r="14" spans="1:6" ht="15" customHeight="1" x14ac:dyDescent="0.25">
      <c r="A14" s="8" t="s">
        <v>17</v>
      </c>
      <c r="B14" s="9">
        <v>342</v>
      </c>
      <c r="C14" s="9">
        <v>344</v>
      </c>
      <c r="D14" s="9">
        <v>534</v>
      </c>
      <c r="E14" s="10">
        <f t="shared" si="0"/>
        <v>0.55232558139534882</v>
      </c>
    </row>
    <row r="15" spans="1:6" ht="15" customHeight="1" x14ac:dyDescent="0.25">
      <c r="A15" s="11" t="s">
        <v>18</v>
      </c>
      <c r="B15" s="12">
        <f>SUM(B7:B14)</f>
        <v>172415</v>
      </c>
      <c r="C15" s="12">
        <f>SUM(C7:C14)</f>
        <v>191753</v>
      </c>
      <c r="D15" s="12">
        <f>SUM(D7:D14)</f>
        <v>180041</v>
      </c>
      <c r="E15" s="13">
        <f t="shared" si="0"/>
        <v>-6.1078575041850713E-2</v>
      </c>
    </row>
    <row r="16" spans="1:6" ht="15" customHeight="1" x14ac:dyDescent="0.25">
      <c r="A16" s="7" t="s">
        <v>19</v>
      </c>
    </row>
    <row r="17" spans="1:5" ht="15" customHeight="1" x14ac:dyDescent="0.25">
      <c r="A17" s="8" t="s">
        <v>11</v>
      </c>
      <c r="B17" s="9">
        <v>4321</v>
      </c>
      <c r="C17" s="9">
        <v>469</v>
      </c>
      <c r="D17" s="9">
        <v>15170</v>
      </c>
      <c r="E17" s="10">
        <f t="shared" ref="E17:E24" si="1">IFERROR((D17-C17)/ABS(C17),"")</f>
        <v>31.345415778251599</v>
      </c>
    </row>
    <row r="18" spans="1:5" ht="15" customHeight="1" x14ac:dyDescent="0.25">
      <c r="A18" s="8" t="s">
        <v>15</v>
      </c>
      <c r="B18" s="9">
        <v>4065</v>
      </c>
      <c r="C18" s="9">
        <v>6196</v>
      </c>
      <c r="D18" s="9">
        <v>5949</v>
      </c>
      <c r="E18" s="10">
        <f t="shared" si="1"/>
        <v>-3.9864428663653972E-2</v>
      </c>
    </row>
    <row r="19" spans="1:5" ht="15" customHeight="1" x14ac:dyDescent="0.25">
      <c r="A19" s="8" t="s">
        <v>20</v>
      </c>
      <c r="B19" s="9">
        <v>28303</v>
      </c>
      <c r="C19" s="9">
        <v>28769</v>
      </c>
      <c r="D19" s="9">
        <v>25631</v>
      </c>
      <c r="E19" s="10">
        <f t="shared" si="1"/>
        <v>-0.10907574124926135</v>
      </c>
    </row>
    <row r="20" spans="1:5" ht="15" customHeight="1" x14ac:dyDescent="0.25">
      <c r="A20" s="8" t="s">
        <v>21</v>
      </c>
      <c r="B20" s="9">
        <v>32073</v>
      </c>
      <c r="C20" s="9">
        <v>32073</v>
      </c>
      <c r="D20" s="9">
        <v>30251</v>
      </c>
      <c r="E20" s="10">
        <f t="shared" si="1"/>
        <v>-5.6807906962242381E-2</v>
      </c>
    </row>
    <row r="21" spans="1:5" ht="15" customHeight="1" x14ac:dyDescent="0.25">
      <c r="A21" s="8" t="s">
        <v>22</v>
      </c>
      <c r="B21" s="9">
        <v>28147</v>
      </c>
      <c r="C21" s="9">
        <v>27686</v>
      </c>
      <c r="D21" s="9">
        <v>30261</v>
      </c>
      <c r="E21" s="10">
        <f t="shared" si="1"/>
        <v>9.3007296106335333E-2</v>
      </c>
    </row>
    <row r="22" spans="1:5" ht="15" customHeight="1" x14ac:dyDescent="0.25">
      <c r="A22" s="8" t="s">
        <v>23</v>
      </c>
      <c r="B22" s="9">
        <v>119922</v>
      </c>
      <c r="C22" s="9">
        <v>189231</v>
      </c>
      <c r="D22" s="9">
        <v>161505</v>
      </c>
      <c r="E22" s="10">
        <f t="shared" si="1"/>
        <v>-0.14651933351300792</v>
      </c>
    </row>
    <row r="23" spans="1:5" ht="15" customHeight="1" x14ac:dyDescent="0.25">
      <c r="A23" s="11" t="s">
        <v>24</v>
      </c>
      <c r="B23" s="12">
        <f>SUM(B17:B22)</f>
        <v>216831</v>
      </c>
      <c r="C23" s="12">
        <f>SUM(C17:C22)</f>
        <v>284424</v>
      </c>
      <c r="D23" s="12">
        <f>SUM(D17:D22)</f>
        <v>268767</v>
      </c>
      <c r="E23" s="13">
        <f t="shared" si="1"/>
        <v>-5.5048097206986751E-2</v>
      </c>
    </row>
    <row r="24" spans="1:5" ht="15" customHeight="1" x14ac:dyDescent="0.25">
      <c r="A24" s="11" t="s">
        <v>25</v>
      </c>
      <c r="B24" s="12">
        <f>B15+B23</f>
        <v>389246</v>
      </c>
      <c r="C24" s="12">
        <f>C15+C23</f>
        <v>476177</v>
      </c>
      <c r="D24" s="12">
        <f>D15+D23</f>
        <v>448808</v>
      </c>
      <c r="E24" s="13">
        <f t="shared" si="1"/>
        <v>-5.7476526585702375E-2</v>
      </c>
    </row>
    <row r="26" spans="1:5" ht="15" customHeight="1" x14ac:dyDescent="0.25">
      <c r="A26" s="6" t="s">
        <v>26</v>
      </c>
    </row>
    <row r="27" spans="1:5" ht="15" customHeight="1" x14ac:dyDescent="0.25">
      <c r="A27" s="7" t="s">
        <v>9</v>
      </c>
    </row>
    <row r="28" spans="1:5" ht="15" customHeight="1" x14ac:dyDescent="0.25">
      <c r="A28" s="8" t="s">
        <v>27</v>
      </c>
      <c r="B28" s="9">
        <v>38514</v>
      </c>
      <c r="C28" s="9">
        <v>58801</v>
      </c>
      <c r="D28" s="9">
        <v>53334</v>
      </c>
      <c r="E28" s="10">
        <f t="shared" ref="E28:E41" si="2">IFERROR((D28-C28)/ABS(C28),"")</f>
        <v>-9.2974609275352463E-2</v>
      </c>
    </row>
    <row r="29" spans="1:5" ht="15" customHeight="1" x14ac:dyDescent="0.25">
      <c r="A29" s="8" t="s">
        <v>28</v>
      </c>
      <c r="B29" s="9">
        <v>20515</v>
      </c>
      <c r="C29" s="9">
        <v>27684</v>
      </c>
      <c r="D29" s="9">
        <v>30429</v>
      </c>
      <c r="E29" s="10">
        <f t="shared" si="2"/>
        <v>9.9154746423927173E-2</v>
      </c>
    </row>
    <row r="30" spans="1:5" ht="15" customHeight="1" x14ac:dyDescent="0.25">
      <c r="A30" s="8" t="s">
        <v>29</v>
      </c>
      <c r="B30" s="9">
        <v>19307</v>
      </c>
      <c r="C30" s="9">
        <v>26176</v>
      </c>
      <c r="D30" s="9">
        <v>18927</v>
      </c>
      <c r="E30" s="10">
        <f t="shared" si="2"/>
        <v>-0.27693306845965771</v>
      </c>
    </row>
    <row r="31" spans="1:5" ht="15" customHeight="1" x14ac:dyDescent="0.25">
      <c r="A31" s="8" t="s">
        <v>30</v>
      </c>
      <c r="B31" s="9">
        <v>110311</v>
      </c>
      <c r="C31" s="9">
        <v>198541</v>
      </c>
      <c r="D31" s="9">
        <v>112992</v>
      </c>
      <c r="E31" s="10">
        <f t="shared" si="2"/>
        <v>-0.43088833037004953</v>
      </c>
    </row>
    <row r="32" spans="1:5" ht="15" customHeight="1" x14ac:dyDescent="0.25">
      <c r="A32" s="8" t="s">
        <v>31</v>
      </c>
      <c r="B32" s="9">
        <v>65990</v>
      </c>
      <c r="C32" s="9">
        <v>30001</v>
      </c>
      <c r="D32" s="9">
        <v>0</v>
      </c>
      <c r="E32" s="10">
        <f t="shared" si="2"/>
        <v>-1</v>
      </c>
    </row>
    <row r="33" spans="1:5" ht="15" customHeight="1" x14ac:dyDescent="0.25">
      <c r="A33" s="8" t="s">
        <v>32</v>
      </c>
      <c r="B33" s="9">
        <v>34610</v>
      </c>
      <c r="C33" s="9">
        <v>49868</v>
      </c>
      <c r="D33" s="9">
        <v>73031</v>
      </c>
      <c r="E33" s="10">
        <f t="shared" si="2"/>
        <v>0.46448624368332397</v>
      </c>
    </row>
    <row r="34" spans="1:5" ht="15" customHeight="1" x14ac:dyDescent="0.25">
      <c r="A34" s="8" t="s">
        <v>33</v>
      </c>
      <c r="B34" s="9">
        <v>13346</v>
      </c>
      <c r="C34" s="9">
        <v>7993</v>
      </c>
      <c r="D34" s="9">
        <v>2004</v>
      </c>
      <c r="E34" s="10">
        <f t="shared" si="2"/>
        <v>-0.74928062054297506</v>
      </c>
    </row>
    <row r="35" spans="1:5" ht="15" customHeight="1" x14ac:dyDescent="0.25">
      <c r="A35" s="8" t="s">
        <v>34</v>
      </c>
      <c r="B35" s="9">
        <v>44408</v>
      </c>
      <c r="C35" s="9">
        <v>4330</v>
      </c>
      <c r="D35" s="9">
        <v>32517</v>
      </c>
      <c r="E35" s="10">
        <f t="shared" si="2"/>
        <v>6.5096997690531175</v>
      </c>
    </row>
    <row r="36" spans="1:5" ht="15" customHeight="1" x14ac:dyDescent="0.25">
      <c r="A36" s="8" t="s">
        <v>35</v>
      </c>
      <c r="B36" s="9">
        <v>1001</v>
      </c>
      <c r="C36" s="9">
        <v>227</v>
      </c>
      <c r="D36" s="9">
        <v>16585</v>
      </c>
      <c r="E36" s="10">
        <f t="shared" si="2"/>
        <v>72.06167400881057</v>
      </c>
    </row>
    <row r="37" spans="1:5" ht="15" customHeight="1" x14ac:dyDescent="0.25">
      <c r="A37" s="8" t="s">
        <v>36</v>
      </c>
      <c r="B37" s="9">
        <v>13380</v>
      </c>
      <c r="C37" s="9">
        <v>44634</v>
      </c>
      <c r="D37" s="9">
        <v>28555</v>
      </c>
      <c r="E37" s="10">
        <f t="shared" si="2"/>
        <v>-0.36024107182865078</v>
      </c>
    </row>
    <row r="38" spans="1:5" ht="15" customHeight="1" x14ac:dyDescent="0.25">
      <c r="A38" s="8" t="s">
        <v>37</v>
      </c>
      <c r="B38" s="9">
        <v>1626</v>
      </c>
      <c r="C38" s="9">
        <v>13601</v>
      </c>
      <c r="D38" s="9">
        <v>4976</v>
      </c>
      <c r="E38" s="10">
        <f t="shared" si="2"/>
        <v>-0.63414454819498567</v>
      </c>
    </row>
    <row r="39" spans="1:5" ht="15" customHeight="1" x14ac:dyDescent="0.25">
      <c r="A39" s="8" t="s">
        <v>38</v>
      </c>
      <c r="B39" s="9">
        <v>8420</v>
      </c>
      <c r="C39" s="9">
        <v>8413</v>
      </c>
      <c r="D39" s="9">
        <v>0</v>
      </c>
      <c r="E39" s="10">
        <f t="shared" si="2"/>
        <v>-1</v>
      </c>
    </row>
    <row r="40" spans="1:5" ht="15" customHeight="1" x14ac:dyDescent="0.25">
      <c r="A40" s="8" t="s">
        <v>39</v>
      </c>
      <c r="B40" s="9">
        <v>0</v>
      </c>
      <c r="C40" s="9">
        <v>0</v>
      </c>
      <c r="D40" s="9">
        <v>11155</v>
      </c>
      <c r="E40" s="10" t="str">
        <f t="shared" si="2"/>
        <v/>
      </c>
    </row>
    <row r="41" spans="1:5" ht="15" customHeight="1" x14ac:dyDescent="0.25">
      <c r="A41" s="11" t="s">
        <v>40</v>
      </c>
      <c r="B41" s="12">
        <f>SUM(B28:B40)</f>
        <v>371428</v>
      </c>
      <c r="C41" s="12">
        <f>SUM(C28:C40)</f>
        <v>470269</v>
      </c>
      <c r="D41" s="12">
        <f>SUM(D28:D40)</f>
        <v>384505</v>
      </c>
      <c r="E41" s="13">
        <f t="shared" si="2"/>
        <v>-0.18237221675253951</v>
      </c>
    </row>
    <row r="42" spans="1:5" ht="15" customHeight="1" x14ac:dyDescent="0.25">
      <c r="A42" s="7" t="s">
        <v>19</v>
      </c>
    </row>
    <row r="43" spans="1:5" ht="15" customHeight="1" x14ac:dyDescent="0.25">
      <c r="A43" s="8" t="s">
        <v>27</v>
      </c>
      <c r="B43" s="9">
        <v>4198</v>
      </c>
      <c r="C43" s="9">
        <v>89046</v>
      </c>
      <c r="D43" s="9">
        <v>77280</v>
      </c>
      <c r="E43" s="10">
        <f t="shared" ref="E43:E54" si="3">IFERROR((D43-C43)/ABS(C43),"")</f>
        <v>-0.13213395323765245</v>
      </c>
    </row>
    <row r="44" spans="1:5" ht="15" customHeight="1" x14ac:dyDescent="0.25">
      <c r="A44" s="8" t="s">
        <v>37</v>
      </c>
      <c r="B44" s="9">
        <v>53990</v>
      </c>
      <c r="C44" s="9">
        <v>99351</v>
      </c>
      <c r="D44" s="9">
        <v>8507</v>
      </c>
      <c r="E44" s="10">
        <f t="shared" si="3"/>
        <v>-0.91437428913649588</v>
      </c>
    </row>
    <row r="45" spans="1:5" ht="15" customHeight="1" x14ac:dyDescent="0.25">
      <c r="A45" s="8" t="s">
        <v>30</v>
      </c>
      <c r="B45" s="9">
        <v>0</v>
      </c>
      <c r="C45" s="9">
        <v>42666</v>
      </c>
      <c r="D45" s="9">
        <v>4869</v>
      </c>
      <c r="E45" s="10">
        <f t="shared" si="3"/>
        <v>-0.88588102939108426</v>
      </c>
    </row>
    <row r="46" spans="1:5" ht="15" customHeight="1" x14ac:dyDescent="0.25">
      <c r="A46" s="8" t="s">
        <v>31</v>
      </c>
      <c r="B46" s="9">
        <v>156749</v>
      </c>
      <c r="C46" s="9">
        <v>163539</v>
      </c>
      <c r="D46" s="9">
        <v>0</v>
      </c>
      <c r="E46" s="10">
        <f t="shared" si="3"/>
        <v>-1</v>
      </c>
    </row>
    <row r="47" spans="1:5" ht="15" customHeight="1" x14ac:dyDescent="0.25">
      <c r="A47" s="8" t="s">
        <v>32</v>
      </c>
      <c r="B47" s="9">
        <v>214026</v>
      </c>
      <c r="C47" s="9">
        <v>190920</v>
      </c>
      <c r="D47" s="9">
        <v>178874</v>
      </c>
      <c r="E47" s="10">
        <f t="shared" si="3"/>
        <v>-6.3094489838675882E-2</v>
      </c>
    </row>
    <row r="48" spans="1:5" ht="15" customHeight="1" x14ac:dyDescent="0.25">
      <c r="A48" s="8" t="s">
        <v>34</v>
      </c>
      <c r="B48" s="9">
        <v>248</v>
      </c>
      <c r="C48" s="9">
        <v>0</v>
      </c>
      <c r="D48" s="9">
        <v>66862</v>
      </c>
      <c r="E48" s="10" t="str">
        <f t="shared" si="3"/>
        <v/>
      </c>
    </row>
    <row r="49" spans="1:5" ht="15" customHeight="1" x14ac:dyDescent="0.25">
      <c r="A49" s="8" t="s">
        <v>35</v>
      </c>
      <c r="B49" s="9">
        <v>9275</v>
      </c>
      <c r="C49" s="9">
        <v>9275</v>
      </c>
      <c r="D49" s="9">
        <v>9882</v>
      </c>
      <c r="E49" s="10">
        <f t="shared" si="3"/>
        <v>6.5444743935309968E-2</v>
      </c>
    </row>
    <row r="50" spans="1:5" ht="15" customHeight="1" x14ac:dyDescent="0.25">
      <c r="A50" s="8" t="s">
        <v>36</v>
      </c>
      <c r="B50" s="9">
        <v>133807</v>
      </c>
      <c r="C50" s="9">
        <v>106641</v>
      </c>
      <c r="D50" s="9">
        <v>104660</v>
      </c>
      <c r="E50" s="10">
        <f t="shared" si="3"/>
        <v>-1.8576344932999502E-2</v>
      </c>
    </row>
    <row r="51" spans="1:5" ht="15" customHeight="1" x14ac:dyDescent="0.25">
      <c r="A51" s="8" t="s">
        <v>38</v>
      </c>
      <c r="B51" s="9">
        <v>58435</v>
      </c>
      <c r="C51" s="9">
        <v>38740</v>
      </c>
      <c r="D51" s="9">
        <v>71860</v>
      </c>
      <c r="E51" s="10">
        <f t="shared" si="3"/>
        <v>0.85493030459473407</v>
      </c>
    </row>
    <row r="52" spans="1:5" ht="15" customHeight="1" x14ac:dyDescent="0.25">
      <c r="A52" s="8" t="s">
        <v>41</v>
      </c>
      <c r="B52" s="9">
        <v>0</v>
      </c>
      <c r="C52" s="9">
        <v>0</v>
      </c>
      <c r="D52" s="9">
        <v>446705</v>
      </c>
      <c r="E52" s="10" t="str">
        <f t="shared" si="3"/>
        <v/>
      </c>
    </row>
    <row r="53" spans="1:5" ht="15" customHeight="1" x14ac:dyDescent="0.25">
      <c r="A53" s="8" t="s">
        <v>42</v>
      </c>
      <c r="B53" s="9">
        <v>0</v>
      </c>
      <c r="C53" s="9">
        <v>0</v>
      </c>
      <c r="D53" s="9">
        <v>-257706</v>
      </c>
      <c r="E53" s="10" t="str">
        <f t="shared" si="3"/>
        <v/>
      </c>
    </row>
    <row r="54" spans="1:5" ht="15" customHeight="1" x14ac:dyDescent="0.25">
      <c r="A54" s="11" t="s">
        <v>43</v>
      </c>
      <c r="B54" s="12">
        <f>SUM(B43:B53)</f>
        <v>630728</v>
      </c>
      <c r="C54" s="12">
        <f>SUM(C43:C53)</f>
        <v>740178</v>
      </c>
      <c r="D54" s="12">
        <f>SUM(D43:D53)</f>
        <v>711793</v>
      </c>
      <c r="E54" s="13">
        <f t="shared" si="3"/>
        <v>-3.8348883646906556E-2</v>
      </c>
    </row>
    <row r="56" spans="1:5" ht="15" customHeight="1" x14ac:dyDescent="0.25">
      <c r="A56" s="6" t="s">
        <v>44</v>
      </c>
    </row>
    <row r="57" spans="1:5" ht="15" customHeight="1" x14ac:dyDescent="0.25">
      <c r="A57" s="8" t="s">
        <v>45</v>
      </c>
      <c r="B57" s="9">
        <v>639992</v>
      </c>
      <c r="C57" s="9">
        <v>639992</v>
      </c>
      <c r="D57" s="9">
        <v>639992</v>
      </c>
      <c r="E57" s="10">
        <f t="shared" ref="E57:E65" si="4">IFERROR((D57-C57)/ABS(C57),"")</f>
        <v>0</v>
      </c>
    </row>
    <row r="58" spans="1:5" ht="15" customHeight="1" x14ac:dyDescent="0.25">
      <c r="A58" s="8" t="s">
        <v>46</v>
      </c>
      <c r="B58" s="9">
        <v>-383419</v>
      </c>
      <c r="C58" s="9">
        <v>-383419</v>
      </c>
      <c r="D58" s="9">
        <v>-383419</v>
      </c>
      <c r="E58" s="10">
        <f t="shared" si="4"/>
        <v>0</v>
      </c>
    </row>
    <row r="59" spans="1:5" ht="15" customHeight="1" x14ac:dyDescent="0.25">
      <c r="A59" s="8" t="s">
        <v>47</v>
      </c>
      <c r="B59" s="9">
        <v>-592624</v>
      </c>
      <c r="C59" s="9">
        <v>-592624</v>
      </c>
      <c r="D59" s="9">
        <v>-592624</v>
      </c>
      <c r="E59" s="10">
        <f t="shared" si="4"/>
        <v>0</v>
      </c>
    </row>
    <row r="60" spans="1:5" ht="15" customHeight="1" x14ac:dyDescent="0.25">
      <c r="A60" s="8" t="s">
        <v>48</v>
      </c>
      <c r="B60" s="9">
        <v>1839</v>
      </c>
      <c r="C60" s="9">
        <v>1839</v>
      </c>
      <c r="D60" s="9">
        <v>3203</v>
      </c>
      <c r="E60" s="10">
        <f t="shared" si="4"/>
        <v>0.74170744970092439</v>
      </c>
    </row>
    <row r="61" spans="1:5" ht="15" customHeight="1" x14ac:dyDescent="0.25">
      <c r="A61" s="8" t="s">
        <v>49</v>
      </c>
      <c r="B61" s="9">
        <v>-28000</v>
      </c>
      <c r="C61" s="9">
        <v>-28000</v>
      </c>
      <c r="D61" s="9">
        <v>-23802</v>
      </c>
      <c r="E61" s="10">
        <f t="shared" si="4"/>
        <v>0.14992857142857144</v>
      </c>
    </row>
    <row r="62" spans="1:5" ht="15" customHeight="1" x14ac:dyDescent="0.25">
      <c r="A62" s="8" t="s">
        <v>50</v>
      </c>
      <c r="B62" s="9">
        <v>-38045</v>
      </c>
      <c r="C62" s="9">
        <v>-38045</v>
      </c>
      <c r="D62" s="9">
        <v>-38045</v>
      </c>
      <c r="E62" s="10">
        <f t="shared" si="4"/>
        <v>0</v>
      </c>
    </row>
    <row r="63" spans="1:5" ht="15" customHeight="1" x14ac:dyDescent="0.25">
      <c r="A63" s="8" t="s">
        <v>51</v>
      </c>
      <c r="B63" s="9">
        <v>-212653</v>
      </c>
      <c r="C63" s="9">
        <v>-334013</v>
      </c>
      <c r="D63" s="9">
        <v>-252795</v>
      </c>
      <c r="E63" s="10">
        <f t="shared" si="4"/>
        <v>0.24315820042932459</v>
      </c>
    </row>
    <row r="64" spans="1:5" ht="15" customHeight="1" x14ac:dyDescent="0.25">
      <c r="A64" s="11" t="s">
        <v>52</v>
      </c>
      <c r="B64" s="12">
        <f>SUM(B57:B63)</f>
        <v>-612910</v>
      </c>
      <c r="C64" s="12">
        <f>SUM(C57:C63)</f>
        <v>-734270</v>
      </c>
      <c r="D64" s="12">
        <f>SUM(D57:D63)</f>
        <v>-647490</v>
      </c>
      <c r="E64" s="13">
        <f t="shared" si="4"/>
        <v>0.11818540863714982</v>
      </c>
    </row>
    <row r="65" spans="1:6" ht="15" customHeight="1" x14ac:dyDescent="0.25">
      <c r="A65" s="11" t="s">
        <v>53</v>
      </c>
      <c r="B65" s="12">
        <f>B41+B54+B64</f>
        <v>389246</v>
      </c>
      <c r="C65" s="12">
        <f>C41+C54+C64</f>
        <v>476177</v>
      </c>
      <c r="D65" s="12">
        <f>D41+D54+D64</f>
        <v>448808</v>
      </c>
      <c r="E65" s="13">
        <f t="shared" si="4"/>
        <v>-5.7476526585702375E-2</v>
      </c>
    </row>
    <row r="67" spans="1:6" ht="15" customHeight="1" x14ac:dyDescent="0.25">
      <c r="A67" s="7" t="s">
        <v>54</v>
      </c>
      <c r="B67" s="14" t="str">
        <f>IF(ROUND(B65-B24,0)=0,"OK","ERRO")</f>
        <v>OK</v>
      </c>
      <c r="C67" s="14" t="str">
        <f>IF(ROUND(C65-C24,0)=0,"OK","ERRO")</f>
        <v>OK</v>
      </c>
      <c r="D67" s="14" t="str">
        <f>IF(ROUND(D65-D24,0)=0,"OK","ERRO")</f>
        <v>OK</v>
      </c>
    </row>
    <row r="69" spans="1:6" ht="15" customHeight="1" x14ac:dyDescent="0.25">
      <c r="A69" s="6" t="s">
        <v>55</v>
      </c>
    </row>
    <row r="70" spans="1:6" ht="15" customHeight="1" x14ac:dyDescent="0.25">
      <c r="A70" s="11" t="s">
        <v>56</v>
      </c>
      <c r="B70" s="12">
        <f>B15-B41</f>
        <v>-199013</v>
      </c>
      <c r="C70" s="12">
        <f>C15-C41</f>
        <v>-278516</v>
      </c>
      <c r="D70" s="12">
        <f>D15-D41</f>
        <v>-204464</v>
      </c>
      <c r="E70" s="13">
        <f>IFERROR((D70-C70)/ABS(C70),"")</f>
        <v>0.26588059572879119</v>
      </c>
    </row>
    <row r="71" spans="1:6" ht="15" customHeight="1" x14ac:dyDescent="0.25">
      <c r="A71" s="8" t="s">
        <v>57</v>
      </c>
      <c r="B71" s="15">
        <f>B15/B41</f>
        <v>0.46419494491529989</v>
      </c>
      <c r="C71" s="15">
        <f>C15/C41</f>
        <v>0.40775173358226885</v>
      </c>
      <c r="D71" s="15">
        <f>D15/D41</f>
        <v>0.46824098516274171</v>
      </c>
      <c r="E71" s="10">
        <f>IFERROR((D71-C71)/ABS(C71),"")</f>
        <v>0.14834823888803508</v>
      </c>
    </row>
    <row r="72" spans="1:6" ht="15" customHeight="1" x14ac:dyDescent="0.25">
      <c r="A72" s="8" t="s">
        <v>58</v>
      </c>
      <c r="B72" s="10">
        <f>(B41+B54)/B24</f>
        <v>2.5746083453651418</v>
      </c>
      <c r="C72" s="10">
        <f>(C41+C54)/C24</f>
        <v>2.5420106389010808</v>
      </c>
      <c r="D72" s="10">
        <f>(D41+D54)/D24</f>
        <v>2.4426881873763393</v>
      </c>
      <c r="E72" s="10">
        <f>IFERROR((D72-C72)/ABS(C72),"")</f>
        <v>-3.9072398047743387E-2</v>
      </c>
    </row>
    <row r="74" spans="1:6" ht="15" customHeight="1" x14ac:dyDescent="0.25">
      <c r="A74" s="2" t="s">
        <v>59</v>
      </c>
      <c r="B74" s="2"/>
      <c r="C74" s="2"/>
      <c r="D74" s="2"/>
      <c r="E74" s="2"/>
      <c r="F74" s="2"/>
    </row>
    <row r="75" spans="1:6" ht="15" customHeight="1" x14ac:dyDescent="0.25">
      <c r="A75" s="2" t="s">
        <v>60</v>
      </c>
      <c r="B75" s="2"/>
      <c r="C75" s="2"/>
      <c r="D75" s="2"/>
      <c r="E75" s="2"/>
      <c r="F75" s="2"/>
    </row>
    <row r="76" spans="1:6" ht="15" customHeight="1" x14ac:dyDescent="0.25">
      <c r="A76" s="2" t="s">
        <v>61</v>
      </c>
      <c r="B76" s="2"/>
      <c r="C76" s="2"/>
      <c r="D76" s="2"/>
      <c r="E76" s="2"/>
      <c r="F76" s="2"/>
    </row>
    <row r="77" spans="1:6" ht="15" customHeight="1" x14ac:dyDescent="0.25">
      <c r="A77" s="2" t="s">
        <v>62</v>
      </c>
      <c r="B77" s="2"/>
      <c r="C77" s="2"/>
      <c r="D77" s="2"/>
      <c r="E77" s="2"/>
      <c r="F77" s="2"/>
    </row>
    <row r="78" spans="1:6" ht="15" customHeight="1" x14ac:dyDescent="0.25">
      <c r="A78" s="2" t="s">
        <v>63</v>
      </c>
      <c r="B78" s="2"/>
      <c r="C78" s="2"/>
      <c r="D78" s="2"/>
      <c r="E78" s="2"/>
      <c r="F78" s="2"/>
    </row>
  </sheetData>
  <mergeCells count="5">
    <mergeCell ref="A74:F74"/>
    <mergeCell ref="A75:F75"/>
    <mergeCell ref="A76:F76"/>
    <mergeCell ref="A77:F77"/>
    <mergeCell ref="A78:F7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A10" zoomScaleNormal="100" workbookViewId="0"/>
  </sheetViews>
  <sheetFormatPr defaultColWidth="8.7109375" defaultRowHeight="15" x14ac:dyDescent="0.25"/>
  <cols>
    <col min="1" max="1" width="48" customWidth="1"/>
    <col min="2" max="4" width="16" customWidth="1"/>
    <col min="5" max="5" width="12" customWidth="1"/>
    <col min="6" max="6" width="50" customWidth="1"/>
  </cols>
  <sheetData>
    <row r="1" spans="1:6" ht="17.25" customHeight="1" x14ac:dyDescent="0.25">
      <c r="A1" s="3" t="s">
        <v>64</v>
      </c>
    </row>
    <row r="2" spans="1:6" ht="15" customHeight="1" x14ac:dyDescent="0.25">
      <c r="A2" s="4" t="s">
        <v>1</v>
      </c>
    </row>
    <row r="4" spans="1:6" ht="1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15" customHeight="1" x14ac:dyDescent="0.25">
      <c r="A5" s="11" t="s">
        <v>65</v>
      </c>
      <c r="B5" s="16">
        <v>222091</v>
      </c>
      <c r="C5" s="16">
        <v>282340</v>
      </c>
      <c r="D5" s="16">
        <v>413878</v>
      </c>
      <c r="E5" s="13">
        <f t="shared" ref="E5:E14" si="0">IFERROR((D5-C5)/ABS(C5),"")</f>
        <v>0.46588510306722392</v>
      </c>
    </row>
    <row r="6" spans="1:6" ht="15" customHeight="1" x14ac:dyDescent="0.25">
      <c r="A6" s="8" t="s">
        <v>66</v>
      </c>
      <c r="B6" s="9">
        <v>-293803</v>
      </c>
      <c r="C6" s="9">
        <v>-382141</v>
      </c>
      <c r="D6" s="9">
        <v>-541302</v>
      </c>
      <c r="E6" s="10">
        <f t="shared" si="0"/>
        <v>-0.41649809886926553</v>
      </c>
    </row>
    <row r="7" spans="1:6" ht="15" customHeight="1" x14ac:dyDescent="0.25">
      <c r="A7" s="11" t="s">
        <v>67</v>
      </c>
      <c r="B7" s="12">
        <f>B5+B6</f>
        <v>-71712</v>
      </c>
      <c r="C7" s="12">
        <f>C5+C6</f>
        <v>-99801</v>
      </c>
      <c r="D7" s="12">
        <f>D5+D6</f>
        <v>-127424</v>
      </c>
      <c r="E7" s="13">
        <f t="shared" si="0"/>
        <v>-0.27678079377962145</v>
      </c>
    </row>
    <row r="8" spans="1:6" ht="15" customHeight="1" x14ac:dyDescent="0.25">
      <c r="A8" s="8" t="s">
        <v>68</v>
      </c>
      <c r="B8" s="9">
        <v>-75845</v>
      </c>
      <c r="C8" s="9">
        <v>-52914</v>
      </c>
      <c r="D8" s="9">
        <v>-155942</v>
      </c>
      <c r="E8" s="10">
        <f t="shared" si="0"/>
        <v>-1.9470839475375137</v>
      </c>
    </row>
    <row r="9" spans="1:6" ht="15" customHeight="1" x14ac:dyDescent="0.25">
      <c r="A9" s="8" t="s">
        <v>69</v>
      </c>
      <c r="B9" s="9">
        <v>77064</v>
      </c>
      <c r="C9" s="9">
        <v>96125</v>
      </c>
      <c r="D9" s="9">
        <v>156894</v>
      </c>
      <c r="E9" s="10">
        <f t="shared" si="0"/>
        <v>0.63218725617685301</v>
      </c>
      <c r="F9" s="17" t="s">
        <v>70</v>
      </c>
    </row>
    <row r="10" spans="1:6" ht="15" customHeight="1" x14ac:dyDescent="0.25">
      <c r="A10" s="11" t="s">
        <v>71</v>
      </c>
      <c r="B10" s="12">
        <f>B7+B8+B9</f>
        <v>-70493</v>
      </c>
      <c r="C10" s="12">
        <f>C7+C8+C9</f>
        <v>-56590</v>
      </c>
      <c r="D10" s="12">
        <f>D7+D8+D9</f>
        <v>-126472</v>
      </c>
      <c r="E10" s="13">
        <f t="shared" si="0"/>
        <v>-1.2348824880720974</v>
      </c>
    </row>
    <row r="11" spans="1:6" ht="15" customHeight="1" x14ac:dyDescent="0.25">
      <c r="A11" s="8" t="s">
        <v>72</v>
      </c>
      <c r="B11" s="9">
        <v>-68650</v>
      </c>
      <c r="C11" s="9">
        <v>-75795</v>
      </c>
      <c r="D11" s="9">
        <v>-105308</v>
      </c>
      <c r="E11" s="10">
        <f t="shared" si="0"/>
        <v>-0.38937924665215384</v>
      </c>
    </row>
    <row r="12" spans="1:6" ht="21.75" customHeight="1" x14ac:dyDescent="0.25">
      <c r="A12" s="8" t="s">
        <v>73</v>
      </c>
      <c r="B12" s="9">
        <v>14575</v>
      </c>
      <c r="C12" s="9">
        <v>17702</v>
      </c>
      <c r="D12" s="9">
        <v>312998</v>
      </c>
      <c r="E12" s="10">
        <f t="shared" si="0"/>
        <v>16.681504914698905</v>
      </c>
      <c r="F12" s="17" t="s">
        <v>74</v>
      </c>
    </row>
    <row r="13" spans="1:6" ht="15" customHeight="1" x14ac:dyDescent="0.25">
      <c r="A13" s="11" t="s">
        <v>75</v>
      </c>
      <c r="B13" s="12">
        <f>B11+B12</f>
        <v>-54075</v>
      </c>
      <c r="C13" s="12">
        <f>C11+C12</f>
        <v>-58093</v>
      </c>
      <c r="D13" s="12">
        <f>D11+D12</f>
        <v>207690</v>
      </c>
      <c r="E13" s="13">
        <f t="shared" si="0"/>
        <v>4.5751295336787567</v>
      </c>
    </row>
    <row r="14" spans="1:6" ht="15" customHeight="1" x14ac:dyDescent="0.25">
      <c r="A14" s="11" t="s">
        <v>76</v>
      </c>
      <c r="B14" s="12">
        <f>B10+B13</f>
        <v>-124568</v>
      </c>
      <c r="C14" s="12">
        <f>C10+C13</f>
        <v>-114683</v>
      </c>
      <c r="D14" s="12">
        <f>D10+D13</f>
        <v>81218</v>
      </c>
      <c r="E14" s="13">
        <f t="shared" si="0"/>
        <v>1.7081956349240952</v>
      </c>
    </row>
    <row r="16" spans="1:6" ht="15" customHeight="1" x14ac:dyDescent="0.25">
      <c r="A16" s="6" t="s">
        <v>77</v>
      </c>
    </row>
    <row r="17" spans="1:6" ht="15" customHeight="1" x14ac:dyDescent="0.25">
      <c r="A17" s="8" t="s">
        <v>78</v>
      </c>
      <c r="B17" s="10">
        <f>B7/B5</f>
        <v>-0.32289466930222294</v>
      </c>
      <c r="C17" s="10">
        <f>C7/C5</f>
        <v>-0.35347807607848691</v>
      </c>
      <c r="D17" s="10">
        <f>D7/D5</f>
        <v>-0.30787816699607129</v>
      </c>
      <c r="E17" s="10">
        <f>IFERROR((D17-C17)/ABS(C17),"")</f>
        <v>0.12900350026882723</v>
      </c>
    </row>
    <row r="18" spans="1:6" ht="15" customHeight="1" x14ac:dyDescent="0.25">
      <c r="A18" s="8" t="s">
        <v>79</v>
      </c>
      <c r="B18" s="10">
        <f>B10/B5</f>
        <v>-0.31740592820060248</v>
      </c>
      <c r="C18" s="10">
        <f>C10/C5</f>
        <v>-0.20043210313806051</v>
      </c>
      <c r="D18" s="10">
        <f>D10/D5</f>
        <v>-0.30557797225269284</v>
      </c>
      <c r="E18" s="10">
        <f>IFERROR((D18-C18)/ABS(C18),"")</f>
        <v>-0.52459594779687735</v>
      </c>
    </row>
    <row r="19" spans="1:6" ht="15" customHeight="1" x14ac:dyDescent="0.25">
      <c r="A19" s="8" t="s">
        <v>80</v>
      </c>
      <c r="B19" s="10">
        <f>B14/B5</f>
        <v>-0.56088720389389934</v>
      </c>
      <c r="C19" s="10">
        <f>C14/C5</f>
        <v>-0.40618757526386629</v>
      </c>
      <c r="D19" s="10">
        <f>D14/D5</f>
        <v>0.19623657212995133</v>
      </c>
      <c r="E19" s="10">
        <f>IFERROR((D19-C19)/ABS(C19),"")</f>
        <v>1.4831181062160081</v>
      </c>
    </row>
    <row r="21" spans="1:6" ht="15" customHeight="1" x14ac:dyDescent="0.25">
      <c r="A21" s="2" t="s">
        <v>59</v>
      </c>
      <c r="B21" s="2"/>
      <c r="C21" s="2"/>
      <c r="D21" s="2"/>
      <c r="E21" s="2"/>
      <c r="F21" s="2"/>
    </row>
    <row r="22" spans="1:6" ht="15" customHeight="1" x14ac:dyDescent="0.25">
      <c r="A22" s="2" t="s">
        <v>81</v>
      </c>
      <c r="B22" s="2"/>
      <c r="C22" s="2"/>
      <c r="D22" s="2"/>
      <c r="E22" s="2"/>
      <c r="F22" s="2"/>
    </row>
    <row r="23" spans="1:6" ht="15" customHeight="1" x14ac:dyDescent="0.25">
      <c r="A23" s="2" t="s">
        <v>82</v>
      </c>
      <c r="B23" s="2"/>
      <c r="C23" s="2"/>
      <c r="D23" s="2"/>
      <c r="E23" s="2"/>
      <c r="F23" s="2"/>
    </row>
    <row r="24" spans="1:6" ht="15" customHeight="1" x14ac:dyDescent="0.25">
      <c r="A24" s="2" t="s">
        <v>83</v>
      </c>
      <c r="B24" s="2"/>
      <c r="C24" s="2"/>
      <c r="D24" s="2"/>
      <c r="E24" s="2"/>
      <c r="F24" s="2"/>
    </row>
    <row r="25" spans="1:6" ht="15" customHeight="1" x14ac:dyDescent="0.25">
      <c r="A25" s="2" t="s">
        <v>84</v>
      </c>
      <c r="B25" s="2"/>
      <c r="C25" s="2"/>
      <c r="D25" s="2"/>
      <c r="E25" s="2"/>
      <c r="F25" s="2"/>
    </row>
  </sheetData>
  <mergeCells count="5">
    <mergeCell ref="A21:F21"/>
    <mergeCell ref="A22:F22"/>
    <mergeCell ref="A23:F23"/>
    <mergeCell ref="A24:F24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topLeftCell="A22" zoomScaleNormal="100" workbookViewId="0"/>
  </sheetViews>
  <sheetFormatPr defaultColWidth="8.7109375" defaultRowHeight="15" x14ac:dyDescent="0.25"/>
  <cols>
    <col min="1" max="1" width="48" customWidth="1"/>
    <col min="2" max="4" width="16" customWidth="1"/>
    <col min="5" max="5" width="12" customWidth="1"/>
    <col min="6" max="6" width="50" customWidth="1"/>
  </cols>
  <sheetData>
    <row r="1" spans="1:6" ht="17.25" customHeight="1" x14ac:dyDescent="0.25">
      <c r="A1" s="3" t="s">
        <v>85</v>
      </c>
    </row>
    <row r="2" spans="1:6" ht="15" customHeight="1" x14ac:dyDescent="0.25">
      <c r="A2" s="4" t="s">
        <v>86</v>
      </c>
    </row>
    <row r="4" spans="1:6" ht="15" customHeight="1" x14ac:dyDescent="0.25">
      <c r="A4" s="5" t="s">
        <v>87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88</v>
      </c>
    </row>
    <row r="5" spans="1:6" ht="15" customHeight="1" x14ac:dyDescent="0.25">
      <c r="A5" s="6" t="s">
        <v>89</v>
      </c>
    </row>
    <row r="6" spans="1:6" ht="15" customHeight="1" x14ac:dyDescent="0.25">
      <c r="A6" s="8" t="s">
        <v>90</v>
      </c>
      <c r="B6" s="9">
        <v>98697</v>
      </c>
      <c r="C6" s="9">
        <v>95133</v>
      </c>
      <c r="D6" s="9">
        <v>147061</v>
      </c>
      <c r="E6" s="10">
        <f t="shared" ref="E6:E17" si="0">IFERROR((D6-C6)/ABS(C6),"")</f>
        <v>0.54584634143777655</v>
      </c>
      <c r="F6" s="18" t="s">
        <v>91</v>
      </c>
    </row>
    <row r="7" spans="1:6" ht="15" customHeight="1" x14ac:dyDescent="0.25">
      <c r="A7" s="8" t="s">
        <v>92</v>
      </c>
      <c r="B7" s="9">
        <v>27412</v>
      </c>
      <c r="C7" s="9">
        <v>34227</v>
      </c>
      <c r="D7" s="9">
        <v>49947</v>
      </c>
      <c r="E7" s="10">
        <f t="shared" si="0"/>
        <v>0.45928652817950738</v>
      </c>
      <c r="F7" s="18" t="s">
        <v>93</v>
      </c>
    </row>
    <row r="8" spans="1:6" ht="15" customHeight="1" x14ac:dyDescent="0.25">
      <c r="A8" s="8" t="s">
        <v>94</v>
      </c>
      <c r="B8" s="9">
        <v>48982</v>
      </c>
      <c r="C8" s="9">
        <v>52999</v>
      </c>
      <c r="D8" s="9">
        <v>108207</v>
      </c>
      <c r="E8" s="10">
        <f t="shared" si="0"/>
        <v>1.0416800316987114</v>
      </c>
      <c r="F8" s="18" t="s">
        <v>93</v>
      </c>
    </row>
    <row r="9" spans="1:6" ht="15" customHeight="1" x14ac:dyDescent="0.25">
      <c r="A9" s="8" t="s">
        <v>95</v>
      </c>
      <c r="B9" s="9">
        <v>31798</v>
      </c>
      <c r="C9" s="9">
        <v>53568</v>
      </c>
      <c r="D9" s="9">
        <v>46574</v>
      </c>
      <c r="E9" s="10">
        <f t="shared" si="0"/>
        <v>-0.13056302270011946</v>
      </c>
      <c r="F9" s="18" t="s">
        <v>93</v>
      </c>
    </row>
    <row r="10" spans="1:6" ht="15" customHeight="1" x14ac:dyDescent="0.25">
      <c r="A10" s="8" t="s">
        <v>96</v>
      </c>
      <c r="B10" s="9">
        <v>988</v>
      </c>
      <c r="C10" s="9">
        <v>1723</v>
      </c>
      <c r="D10" s="9">
        <v>1415</v>
      </c>
      <c r="E10" s="10">
        <f t="shared" si="0"/>
        <v>-0.1787579802669762</v>
      </c>
      <c r="F10" s="18" t="s">
        <v>93</v>
      </c>
    </row>
    <row r="11" spans="1:6" ht="15" customHeight="1" x14ac:dyDescent="0.25">
      <c r="A11" s="8" t="s">
        <v>97</v>
      </c>
      <c r="B11" s="9">
        <v>19838</v>
      </c>
      <c r="C11" s="9">
        <v>51682</v>
      </c>
      <c r="D11" s="9">
        <v>65860</v>
      </c>
      <c r="E11" s="10">
        <f t="shared" si="0"/>
        <v>0.27433148871947682</v>
      </c>
      <c r="F11" s="18" t="s">
        <v>93</v>
      </c>
    </row>
    <row r="12" spans="1:6" ht="15" customHeight="1" x14ac:dyDescent="0.25">
      <c r="A12" s="8" t="s">
        <v>98</v>
      </c>
      <c r="B12" s="9">
        <v>8640</v>
      </c>
      <c r="C12" s="9">
        <v>6908</v>
      </c>
      <c r="D12" s="9">
        <v>9036</v>
      </c>
      <c r="E12" s="10">
        <f t="shared" si="0"/>
        <v>0.30804863925883036</v>
      </c>
      <c r="F12" s="18" t="s">
        <v>93</v>
      </c>
    </row>
    <row r="13" spans="1:6" ht="15" customHeight="1" x14ac:dyDescent="0.25">
      <c r="A13" s="8" t="s">
        <v>99</v>
      </c>
      <c r="B13" s="9">
        <v>0</v>
      </c>
      <c r="C13" s="9">
        <v>0</v>
      </c>
      <c r="D13" s="9">
        <v>8695</v>
      </c>
      <c r="E13" s="10" t="str">
        <f t="shared" si="0"/>
        <v/>
      </c>
      <c r="F13" s="18" t="s">
        <v>100</v>
      </c>
    </row>
    <row r="14" spans="1:6" ht="15" customHeight="1" x14ac:dyDescent="0.25">
      <c r="A14" s="8" t="s">
        <v>101</v>
      </c>
      <c r="B14" s="9">
        <v>4059</v>
      </c>
      <c r="C14" s="9">
        <v>7648</v>
      </c>
      <c r="D14" s="9">
        <v>10970</v>
      </c>
      <c r="E14" s="10">
        <f t="shared" si="0"/>
        <v>0.43436192468619245</v>
      </c>
      <c r="F14" s="18" t="s">
        <v>102</v>
      </c>
    </row>
    <row r="15" spans="1:6" ht="15" customHeight="1" x14ac:dyDescent="0.25">
      <c r="A15" s="11" t="s">
        <v>103</v>
      </c>
      <c r="B15" s="12">
        <f>SUM(B6:B14)</f>
        <v>240414</v>
      </c>
      <c r="C15" s="12">
        <f>SUM(C6:C14)</f>
        <v>303888</v>
      </c>
      <c r="D15" s="12">
        <f>SUM(D6:D14)</f>
        <v>447765</v>
      </c>
      <c r="E15" s="13">
        <f t="shared" si="0"/>
        <v>0.47345403569736216</v>
      </c>
    </row>
    <row r="16" spans="1:6" ht="15" customHeight="1" x14ac:dyDescent="0.25">
      <c r="A16" s="8" t="s">
        <v>104</v>
      </c>
      <c r="B16" s="9">
        <v>-18323</v>
      </c>
      <c r="C16" s="9">
        <v>-21548</v>
      </c>
      <c r="D16" s="9">
        <v>-32471</v>
      </c>
      <c r="E16" s="10">
        <f t="shared" si="0"/>
        <v>-0.50691479487655466</v>
      </c>
    </row>
    <row r="17" spans="1:6" ht="15" customHeight="1" x14ac:dyDescent="0.25">
      <c r="A17" s="11" t="s">
        <v>65</v>
      </c>
      <c r="B17" s="12">
        <f>B15+B16</f>
        <v>222091</v>
      </c>
      <c r="C17" s="12">
        <f>C15+C16</f>
        <v>282340</v>
      </c>
      <c r="D17" s="12">
        <f>D15+D16</f>
        <v>415294</v>
      </c>
      <c r="E17" s="13">
        <f t="shared" si="0"/>
        <v>0.47090033293192607</v>
      </c>
    </row>
    <row r="19" spans="1:6" ht="15" customHeight="1" x14ac:dyDescent="0.25">
      <c r="A19" s="6" t="s">
        <v>105</v>
      </c>
    </row>
    <row r="20" spans="1:6" ht="15" customHeight="1" x14ac:dyDescent="0.25">
      <c r="A20" s="8" t="s">
        <v>106</v>
      </c>
      <c r="B20" s="9">
        <v>127181</v>
      </c>
      <c r="C20" s="9">
        <v>170258</v>
      </c>
      <c r="D20" s="9">
        <v>123866</v>
      </c>
      <c r="E20" s="10">
        <f>IFERROR((D20-C20)/ABS(C20),"")</f>
        <v>-0.27248058828366362</v>
      </c>
      <c r="F20" s="18" t="s">
        <v>107</v>
      </c>
    </row>
    <row r="21" spans="1:6" ht="15" customHeight="1" x14ac:dyDescent="0.25">
      <c r="A21" s="8" t="s">
        <v>108</v>
      </c>
      <c r="B21" s="9">
        <v>-48981</v>
      </c>
      <c r="C21" s="9">
        <v>-74826</v>
      </c>
      <c r="D21" s="9">
        <v>-81257</v>
      </c>
      <c r="E21" s="10">
        <f>IFERROR((D21-C21)/ABS(C21),"")</f>
        <v>-8.5946061529414905E-2</v>
      </c>
      <c r="F21" s="18" t="s">
        <v>109</v>
      </c>
    </row>
    <row r="22" spans="1:6" ht="15" customHeight="1" x14ac:dyDescent="0.25">
      <c r="A22" s="8" t="s">
        <v>110</v>
      </c>
      <c r="B22" s="9">
        <v>-1136</v>
      </c>
      <c r="C22" s="9">
        <v>694</v>
      </c>
      <c r="D22" s="9">
        <v>114285</v>
      </c>
      <c r="E22" s="10">
        <f>IFERROR((D22-C22)/ABS(C22),"")</f>
        <v>163.67579250720462</v>
      </c>
      <c r="F22" s="19" t="s">
        <v>111</v>
      </c>
    </row>
    <row r="23" spans="1:6" ht="15" customHeight="1" x14ac:dyDescent="0.25">
      <c r="A23" s="11" t="s">
        <v>112</v>
      </c>
      <c r="B23" s="16">
        <v>77064</v>
      </c>
      <c r="C23" s="16">
        <v>96125</v>
      </c>
      <c r="D23" s="16">
        <v>156894</v>
      </c>
      <c r="E23" s="13">
        <f>IFERROR((D23-C23)/ABS(C23),"")</f>
        <v>0.63218725617685301</v>
      </c>
    </row>
    <row r="25" spans="1:6" ht="15" customHeight="1" x14ac:dyDescent="0.25">
      <c r="A25" s="6" t="s">
        <v>113</v>
      </c>
    </row>
    <row r="26" spans="1:6" ht="15" customHeight="1" x14ac:dyDescent="0.25">
      <c r="A26" s="11" t="s">
        <v>114</v>
      </c>
      <c r="B26" s="12">
        <f>(B6+B7+B8+B9+B10+B11+B12+B13+B14-55461)*B17/B15</f>
        <v>170856.92481719036</v>
      </c>
      <c r="C26" s="12">
        <f>(C6+C7+C8+C9+C10+C11+C12+C13+C14)*C17/C15</f>
        <v>282340</v>
      </c>
      <c r="D26" s="12">
        <f>(D6+D7+D8+D9+D10+D11+D12+D13+D14)*D17/D15</f>
        <v>415294</v>
      </c>
      <c r="E26" s="13">
        <f>IFERROR((D26-C26)/ABS(C26),"")</f>
        <v>0.47090033293192607</v>
      </c>
      <c r="F26" s="4" t="s">
        <v>115</v>
      </c>
    </row>
    <row r="27" spans="1:6" ht="15" customHeight="1" x14ac:dyDescent="0.25">
      <c r="A27" s="11" t="s">
        <v>116</v>
      </c>
      <c r="B27" s="16">
        <v>55461</v>
      </c>
      <c r="C27" s="16">
        <v>0</v>
      </c>
      <c r="D27" s="16">
        <v>0</v>
      </c>
      <c r="E27" s="13" t="str">
        <f>IFERROR((D27-C27)/ABS(C27),"")</f>
        <v/>
      </c>
    </row>
    <row r="28" spans="1:6" ht="15" customHeight="1" x14ac:dyDescent="0.25">
      <c r="A28" s="11" t="s">
        <v>117</v>
      </c>
      <c r="B28" s="12">
        <f>B20+B21</f>
        <v>78200</v>
      </c>
      <c r="C28" s="12">
        <f>C20+C21</f>
        <v>95432</v>
      </c>
      <c r="D28" s="12">
        <f>D20+D21</f>
        <v>42609</v>
      </c>
      <c r="E28" s="13">
        <f>IFERROR((D28-C28)/ABS(C28),"")</f>
        <v>-0.55351454438762682</v>
      </c>
    </row>
    <row r="29" spans="1:6" ht="15" customHeight="1" x14ac:dyDescent="0.25">
      <c r="A29" s="11" t="s">
        <v>118</v>
      </c>
      <c r="B29" s="16">
        <v>0</v>
      </c>
      <c r="C29" s="16">
        <v>0</v>
      </c>
      <c r="D29" s="16">
        <v>114285</v>
      </c>
      <c r="E29" s="13" t="str">
        <f>IFERROR((D29-C29)/ABS(C29),"")</f>
        <v/>
      </c>
    </row>
    <row r="31" spans="1:6" ht="15" customHeight="1" x14ac:dyDescent="0.25">
      <c r="A31" s="7" t="s">
        <v>119</v>
      </c>
    </row>
    <row r="32" spans="1:6" ht="15" customHeight="1" x14ac:dyDescent="0.25">
      <c r="A32" s="8" t="s">
        <v>120</v>
      </c>
      <c r="B32" s="10">
        <f>B26/(B15+B22)</f>
        <v>0.71405195971710878</v>
      </c>
      <c r="C32" s="10">
        <f>C26/(C15+C22)</f>
        <v>0.92697533012456412</v>
      </c>
      <c r="D32" s="10">
        <f>D26/(D15+D22)</f>
        <v>0.73889155769059689</v>
      </c>
      <c r="E32" s="10">
        <f>IFERROR((D32-C32)/ABS(C32),"")</f>
        <v>-0.20290051560346606</v>
      </c>
    </row>
    <row r="34" spans="1:6" ht="15" customHeight="1" x14ac:dyDescent="0.25">
      <c r="A34" s="2" t="s">
        <v>59</v>
      </c>
      <c r="B34" s="2"/>
      <c r="C34" s="2"/>
      <c r="D34" s="2"/>
      <c r="E34" s="2"/>
      <c r="F34" s="2"/>
    </row>
    <row r="35" spans="1:6" ht="15" customHeight="1" x14ac:dyDescent="0.25">
      <c r="A35" s="2" t="s">
        <v>121</v>
      </c>
      <c r="B35" s="2"/>
      <c r="C35" s="2"/>
      <c r="D35" s="2"/>
      <c r="E35" s="2"/>
      <c r="F35" s="2"/>
    </row>
    <row r="36" spans="1:6" ht="15" customHeight="1" x14ac:dyDescent="0.25">
      <c r="A36" s="2" t="s">
        <v>122</v>
      </c>
      <c r="B36" s="2"/>
      <c r="C36" s="2"/>
      <c r="D36" s="2"/>
      <c r="E36" s="2"/>
      <c r="F36" s="2"/>
    </row>
    <row r="37" spans="1:6" ht="15" customHeight="1" x14ac:dyDescent="0.25">
      <c r="A37" s="2" t="s">
        <v>123</v>
      </c>
      <c r="B37" s="2"/>
      <c r="C37" s="2"/>
      <c r="D37" s="2"/>
      <c r="E37" s="2"/>
      <c r="F37" s="2"/>
    </row>
    <row r="38" spans="1:6" ht="15" customHeight="1" x14ac:dyDescent="0.25">
      <c r="A38" s="2" t="s">
        <v>124</v>
      </c>
      <c r="B38" s="2"/>
      <c r="C38" s="2"/>
      <c r="D38" s="2"/>
      <c r="E38" s="2"/>
      <c r="F38" s="2"/>
    </row>
    <row r="39" spans="1:6" ht="15" customHeight="1" x14ac:dyDescent="0.25">
      <c r="A39" s="2" t="s">
        <v>125</v>
      </c>
      <c r="B39" s="2"/>
      <c r="C39" s="2"/>
      <c r="D39" s="2"/>
      <c r="E39" s="2"/>
      <c r="F39" s="2"/>
    </row>
    <row r="40" spans="1:6" ht="15" customHeight="1" x14ac:dyDescent="0.25">
      <c r="A40" s="2" t="s">
        <v>126</v>
      </c>
      <c r="B40" s="2"/>
      <c r="C40" s="2"/>
      <c r="D40" s="2"/>
      <c r="E40" s="2"/>
      <c r="F40" s="2"/>
    </row>
  </sheetData>
  <mergeCells count="7">
    <mergeCell ref="A39:F39"/>
    <mergeCell ref="A40:F40"/>
    <mergeCell ref="A34:F34"/>
    <mergeCell ref="A35:F35"/>
    <mergeCell ref="A36:F36"/>
    <mergeCell ref="A37:F37"/>
    <mergeCell ref="A38:F3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8"/>
  <sheetViews>
    <sheetView topLeftCell="A61" zoomScaleNormal="100" workbookViewId="0"/>
  </sheetViews>
  <sheetFormatPr defaultColWidth="8.7109375" defaultRowHeight="15" x14ac:dyDescent="0.25"/>
  <cols>
    <col min="1" max="1" width="48" customWidth="1"/>
    <col min="2" max="4" width="16" customWidth="1"/>
    <col min="5" max="5" width="12" customWidth="1"/>
    <col min="6" max="6" width="50" customWidth="1"/>
  </cols>
  <sheetData>
    <row r="1" spans="1:6" ht="17.25" customHeight="1" x14ac:dyDescent="0.25">
      <c r="A1" s="3" t="s">
        <v>127</v>
      </c>
    </row>
    <row r="2" spans="1:6" ht="15" customHeight="1" x14ac:dyDescent="0.25">
      <c r="A2" s="4" t="s">
        <v>128</v>
      </c>
    </row>
    <row r="4" spans="1:6" ht="1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15" customHeight="1" x14ac:dyDescent="0.25">
      <c r="A5" s="6" t="s">
        <v>129</v>
      </c>
    </row>
    <row r="6" spans="1:6" ht="15" customHeight="1" x14ac:dyDescent="0.25">
      <c r="A6" s="11" t="s">
        <v>76</v>
      </c>
      <c r="B6" s="16">
        <v>-124568</v>
      </c>
      <c r="C6" s="16">
        <v>-114682</v>
      </c>
      <c r="D6" s="16">
        <v>81218</v>
      </c>
      <c r="E6" s="13">
        <f>IFERROR((D6-C6)/ABS(C6),"")</f>
        <v>1.7082018102230516</v>
      </c>
    </row>
    <row r="7" spans="1:6" ht="15" customHeight="1" x14ac:dyDescent="0.25">
      <c r="A7" s="7" t="s">
        <v>130</v>
      </c>
    </row>
    <row r="8" spans="1:6" ht="15" customHeight="1" x14ac:dyDescent="0.25">
      <c r="A8" s="8" t="s">
        <v>131</v>
      </c>
      <c r="B8" s="9">
        <v>58783</v>
      </c>
      <c r="C8" s="9">
        <v>92344</v>
      </c>
      <c r="D8" s="9">
        <v>125811</v>
      </c>
      <c r="E8" s="10">
        <f t="shared" ref="E8:E18" si="0">IFERROR((D8-C8)/ABS(C8),"")</f>
        <v>0.36241661613098847</v>
      </c>
    </row>
    <row r="9" spans="1:6" ht="15" customHeight="1" x14ac:dyDescent="0.25">
      <c r="A9" s="8" t="s">
        <v>132</v>
      </c>
      <c r="B9" s="9">
        <v>31479</v>
      </c>
      <c r="C9" s="9">
        <v>18567</v>
      </c>
      <c r="D9" s="9">
        <v>58492</v>
      </c>
      <c r="E9" s="10">
        <f t="shared" si="0"/>
        <v>2.1503204610330156</v>
      </c>
    </row>
    <row r="10" spans="1:6" ht="15" customHeight="1" x14ac:dyDescent="0.25">
      <c r="A10" s="8" t="s">
        <v>133</v>
      </c>
      <c r="B10" s="9">
        <v>-4943</v>
      </c>
      <c r="C10" s="9">
        <v>0</v>
      </c>
      <c r="D10" s="9">
        <v>0</v>
      </c>
      <c r="E10" s="10" t="str">
        <f t="shared" si="0"/>
        <v/>
      </c>
    </row>
    <row r="11" spans="1:6" ht="15" customHeight="1" x14ac:dyDescent="0.25">
      <c r="A11" s="8" t="s">
        <v>134</v>
      </c>
      <c r="B11" s="9">
        <v>-4288</v>
      </c>
      <c r="C11" s="9">
        <v>5704</v>
      </c>
      <c r="D11" s="9">
        <v>2613</v>
      </c>
      <c r="E11" s="10">
        <f t="shared" si="0"/>
        <v>-0.54190042075736322</v>
      </c>
    </row>
    <row r="12" spans="1:6" ht="15" customHeight="1" x14ac:dyDescent="0.25">
      <c r="A12" s="8" t="s">
        <v>135</v>
      </c>
      <c r="B12" s="9">
        <v>6495</v>
      </c>
      <c r="C12" s="9">
        <v>9634</v>
      </c>
      <c r="D12" s="9">
        <v>69092</v>
      </c>
      <c r="E12" s="10">
        <f t="shared" si="0"/>
        <v>6.1716836205106915</v>
      </c>
    </row>
    <row r="13" spans="1:6" ht="15" customHeight="1" x14ac:dyDescent="0.25">
      <c r="A13" s="8" t="s">
        <v>136</v>
      </c>
      <c r="B13" s="9">
        <v>2614</v>
      </c>
      <c r="C13" s="9">
        <v>2987</v>
      </c>
      <c r="D13" s="9">
        <v>3443</v>
      </c>
      <c r="E13" s="10">
        <f t="shared" si="0"/>
        <v>0.1526615333110144</v>
      </c>
    </row>
    <row r="14" spans="1:6" ht="15" customHeight="1" x14ac:dyDescent="0.25">
      <c r="A14" s="8" t="s">
        <v>137</v>
      </c>
      <c r="B14" s="9">
        <v>34847</v>
      </c>
      <c r="C14" s="9">
        <v>4938</v>
      </c>
      <c r="D14" s="9">
        <v>8442</v>
      </c>
      <c r="E14" s="10">
        <f t="shared" si="0"/>
        <v>0.70959902794653706</v>
      </c>
    </row>
    <row r="15" spans="1:6" ht="15" customHeight="1" x14ac:dyDescent="0.25">
      <c r="A15" s="8" t="s">
        <v>138</v>
      </c>
      <c r="B15" s="9">
        <v>-20</v>
      </c>
      <c r="C15" s="9">
        <v>-17123</v>
      </c>
      <c r="D15" s="9">
        <v>31092</v>
      </c>
      <c r="E15" s="10">
        <f t="shared" si="0"/>
        <v>2.8158033054955323</v>
      </c>
      <c r="F15" s="19" t="s">
        <v>139</v>
      </c>
    </row>
    <row r="16" spans="1:6" ht="15" customHeight="1" x14ac:dyDescent="0.25">
      <c r="A16" s="8" t="s">
        <v>140</v>
      </c>
      <c r="B16" s="9">
        <v>0</v>
      </c>
      <c r="C16" s="9">
        <v>0</v>
      </c>
      <c r="D16" s="9">
        <v>-257707</v>
      </c>
      <c r="E16" s="10" t="str">
        <f t="shared" si="0"/>
        <v/>
      </c>
    </row>
    <row r="17" spans="1:5" ht="15" customHeight="1" x14ac:dyDescent="0.25">
      <c r="A17" s="8" t="s">
        <v>141</v>
      </c>
      <c r="B17" s="9">
        <v>14444</v>
      </c>
      <c r="C17" s="9">
        <v>30733</v>
      </c>
      <c r="D17" s="9">
        <v>73251</v>
      </c>
      <c r="E17" s="10">
        <f t="shared" si="0"/>
        <v>1.3834640288940228</v>
      </c>
    </row>
    <row r="18" spans="1:5" ht="15" customHeight="1" x14ac:dyDescent="0.25">
      <c r="A18" s="11" t="s">
        <v>142</v>
      </c>
      <c r="B18" s="12">
        <f>SUM(B8:B17)</f>
        <v>139411</v>
      </c>
      <c r="C18" s="12">
        <f>SUM(C8:C17)</f>
        <v>147784</v>
      </c>
      <c r="D18" s="12">
        <f>SUM(D8:D17)</f>
        <v>114529</v>
      </c>
      <c r="E18" s="13">
        <f t="shared" si="0"/>
        <v>-0.22502435987657662</v>
      </c>
    </row>
    <row r="19" spans="1:5" ht="15" customHeight="1" x14ac:dyDescent="0.25">
      <c r="A19" s="7" t="s">
        <v>143</v>
      </c>
    </row>
    <row r="20" spans="1:5" ht="15" customHeight="1" x14ac:dyDescent="0.25">
      <c r="A20" s="8" t="s">
        <v>11</v>
      </c>
      <c r="B20" s="9">
        <v>-50327</v>
      </c>
      <c r="C20" s="9">
        <v>-32435</v>
      </c>
      <c r="D20" s="9">
        <v>-1297</v>
      </c>
      <c r="E20" s="10">
        <f t="shared" ref="E20:E40" si="1">IFERROR((D20-C20)/ABS(C20),"")</f>
        <v>0.96001233235702177</v>
      </c>
    </row>
    <row r="21" spans="1:5" ht="15" customHeight="1" x14ac:dyDescent="0.25">
      <c r="A21" s="8" t="s">
        <v>13</v>
      </c>
      <c r="B21" s="9">
        <v>-92</v>
      </c>
      <c r="C21" s="9">
        <v>-58</v>
      </c>
      <c r="D21" s="9">
        <v>-2762</v>
      </c>
      <c r="E21" s="10">
        <f t="shared" si="1"/>
        <v>-46.620689655172413</v>
      </c>
    </row>
    <row r="22" spans="1:5" ht="15" customHeight="1" x14ac:dyDescent="0.25">
      <c r="A22" s="8" t="s">
        <v>14</v>
      </c>
      <c r="B22" s="9">
        <v>-900</v>
      </c>
      <c r="C22" s="9">
        <v>-1614</v>
      </c>
      <c r="D22" s="9">
        <v>-2427</v>
      </c>
      <c r="E22" s="10">
        <f t="shared" si="1"/>
        <v>-0.50371747211895912</v>
      </c>
    </row>
    <row r="23" spans="1:5" ht="15" customHeight="1" x14ac:dyDescent="0.25">
      <c r="A23" s="8" t="s">
        <v>15</v>
      </c>
      <c r="B23" s="9">
        <v>-7964</v>
      </c>
      <c r="C23" s="9">
        <v>1302</v>
      </c>
      <c r="D23" s="9">
        <v>111</v>
      </c>
      <c r="E23" s="10">
        <f t="shared" si="1"/>
        <v>-0.91474654377880182</v>
      </c>
    </row>
    <row r="24" spans="1:5" ht="15" customHeight="1" x14ac:dyDescent="0.25">
      <c r="A24" s="8" t="s">
        <v>16</v>
      </c>
      <c r="B24" s="9">
        <v>-94</v>
      </c>
      <c r="C24" s="9">
        <v>-5</v>
      </c>
      <c r="D24" s="9">
        <v>-470</v>
      </c>
      <c r="E24" s="10">
        <f t="shared" si="1"/>
        <v>-93</v>
      </c>
    </row>
    <row r="25" spans="1:5" ht="15" customHeight="1" x14ac:dyDescent="0.25">
      <c r="A25" s="8" t="s">
        <v>21</v>
      </c>
      <c r="B25" s="9">
        <v>868</v>
      </c>
      <c r="C25" s="9">
        <v>0</v>
      </c>
      <c r="D25" s="9">
        <v>1822</v>
      </c>
      <c r="E25" s="10" t="str">
        <f t="shared" si="1"/>
        <v/>
      </c>
    </row>
    <row r="26" spans="1:5" ht="15" customHeight="1" x14ac:dyDescent="0.25">
      <c r="A26" s="8" t="s">
        <v>17</v>
      </c>
      <c r="B26" s="9">
        <v>-342</v>
      </c>
      <c r="C26" s="9">
        <v>-2</v>
      </c>
      <c r="D26" s="9">
        <v>-190</v>
      </c>
      <c r="E26" s="10">
        <f t="shared" si="1"/>
        <v>-94</v>
      </c>
    </row>
    <row r="27" spans="1:5" ht="15" customHeight="1" x14ac:dyDescent="0.25">
      <c r="A27" s="8" t="s">
        <v>20</v>
      </c>
      <c r="B27" s="9">
        <v>-2437</v>
      </c>
      <c r="C27" s="9">
        <v>-466</v>
      </c>
      <c r="D27" s="9">
        <v>3137</v>
      </c>
      <c r="E27" s="10">
        <f t="shared" si="1"/>
        <v>7.7317596566523603</v>
      </c>
    </row>
    <row r="28" spans="1:5" ht="15" customHeight="1" x14ac:dyDescent="0.25">
      <c r="A28" s="8" t="s">
        <v>27</v>
      </c>
      <c r="B28" s="9">
        <v>11902</v>
      </c>
      <c r="C28" s="9">
        <v>99431</v>
      </c>
      <c r="D28" s="9">
        <v>-19845</v>
      </c>
      <c r="E28" s="10">
        <f t="shared" si="1"/>
        <v>-1.1995856423047138</v>
      </c>
    </row>
    <row r="29" spans="1:5" ht="15" customHeight="1" x14ac:dyDescent="0.25">
      <c r="A29" s="8" t="s">
        <v>144</v>
      </c>
      <c r="B29" s="9">
        <v>5857</v>
      </c>
      <c r="C29" s="9">
        <v>7169</v>
      </c>
      <c r="D29" s="9">
        <v>2745</v>
      </c>
      <c r="E29" s="10">
        <f t="shared" si="1"/>
        <v>-0.61710140884363229</v>
      </c>
    </row>
    <row r="30" spans="1:5" ht="15" customHeight="1" x14ac:dyDescent="0.25">
      <c r="A30" s="8" t="s">
        <v>145</v>
      </c>
      <c r="B30" s="9">
        <v>-25565</v>
      </c>
      <c r="C30" s="9">
        <v>4996</v>
      </c>
      <c r="D30" s="9">
        <v>-11877</v>
      </c>
      <c r="E30" s="10">
        <f t="shared" si="1"/>
        <v>-3.3773018414731784</v>
      </c>
    </row>
    <row r="31" spans="1:5" ht="15" customHeight="1" x14ac:dyDescent="0.25">
      <c r="A31" s="8" t="s">
        <v>146</v>
      </c>
      <c r="B31" s="9">
        <v>100065</v>
      </c>
      <c r="C31" s="9">
        <v>130896</v>
      </c>
      <c r="D31" s="9">
        <v>-123347</v>
      </c>
      <c r="E31" s="10">
        <f t="shared" si="1"/>
        <v>-1.9423282606038381</v>
      </c>
    </row>
    <row r="32" spans="1:5" ht="15" customHeight="1" x14ac:dyDescent="0.25">
      <c r="A32" s="8" t="s">
        <v>33</v>
      </c>
      <c r="B32" s="9">
        <v>1714</v>
      </c>
      <c r="C32" s="9">
        <v>-5353</v>
      </c>
      <c r="D32" s="9">
        <v>-5989</v>
      </c>
      <c r="E32" s="10">
        <f t="shared" si="1"/>
        <v>-0.11881188118811881</v>
      </c>
    </row>
    <row r="33" spans="1:6" ht="15" customHeight="1" x14ac:dyDescent="0.25">
      <c r="A33" s="8" t="s">
        <v>147</v>
      </c>
      <c r="B33" s="9">
        <v>11512</v>
      </c>
      <c r="C33" s="9">
        <v>-19104</v>
      </c>
      <c r="D33" s="9">
        <v>5041</v>
      </c>
      <c r="E33" s="10">
        <f t="shared" si="1"/>
        <v>1.2638714405360134</v>
      </c>
    </row>
    <row r="34" spans="1:6" ht="15" customHeight="1" x14ac:dyDescent="0.25">
      <c r="A34" s="8" t="s">
        <v>148</v>
      </c>
      <c r="B34" s="9">
        <v>-21753</v>
      </c>
      <c r="C34" s="9">
        <v>42492</v>
      </c>
      <c r="D34" s="9">
        <v>-150232</v>
      </c>
      <c r="E34" s="10">
        <f t="shared" si="1"/>
        <v>-4.535536100913113</v>
      </c>
    </row>
    <row r="35" spans="1:6" ht="15" customHeight="1" x14ac:dyDescent="0.25">
      <c r="A35" s="8" t="s">
        <v>149</v>
      </c>
      <c r="B35" s="9">
        <v>-44233</v>
      </c>
      <c r="C35" s="9">
        <v>-29200</v>
      </c>
      <c r="D35" s="9">
        <v>-193537</v>
      </c>
      <c r="E35" s="10">
        <f t="shared" si="1"/>
        <v>-5.6279794520547943</v>
      </c>
    </row>
    <row r="36" spans="1:6" ht="15" customHeight="1" x14ac:dyDescent="0.25">
      <c r="A36" s="8" t="s">
        <v>38</v>
      </c>
      <c r="B36" s="9">
        <v>30817</v>
      </c>
      <c r="C36" s="9">
        <v>-29336</v>
      </c>
      <c r="D36" s="9">
        <v>-44385</v>
      </c>
      <c r="E36" s="10">
        <f t="shared" si="1"/>
        <v>-0.51298745568584669</v>
      </c>
      <c r="F36" s="19" t="s">
        <v>150</v>
      </c>
    </row>
    <row r="37" spans="1:6" ht="15" customHeight="1" x14ac:dyDescent="0.25">
      <c r="A37" s="8" t="s">
        <v>151</v>
      </c>
      <c r="B37" s="9">
        <v>0</v>
      </c>
      <c r="C37" s="9">
        <v>0</v>
      </c>
      <c r="D37" s="9">
        <v>457859</v>
      </c>
      <c r="E37" s="10" t="str">
        <f t="shared" si="1"/>
        <v/>
      </c>
    </row>
    <row r="38" spans="1:6" ht="15" customHeight="1" x14ac:dyDescent="0.25">
      <c r="A38" s="8" t="s">
        <v>36</v>
      </c>
      <c r="B38" s="9">
        <v>103804</v>
      </c>
      <c r="C38" s="9">
        <v>4088</v>
      </c>
      <c r="D38" s="9">
        <v>-18060</v>
      </c>
      <c r="E38" s="10">
        <f t="shared" si="1"/>
        <v>-5.4178082191780819</v>
      </c>
    </row>
    <row r="39" spans="1:6" ht="15" customHeight="1" x14ac:dyDescent="0.25">
      <c r="A39" s="11" t="s">
        <v>152</v>
      </c>
      <c r="B39" s="12">
        <f>SUM(B20:B38)</f>
        <v>112832</v>
      </c>
      <c r="C39" s="12">
        <f>SUM(C20:C38)</f>
        <v>172801</v>
      </c>
      <c r="D39" s="12">
        <f>SUM(D20:D38)</f>
        <v>-103703</v>
      </c>
      <c r="E39" s="13">
        <f t="shared" si="1"/>
        <v>-1.6001296288794624</v>
      </c>
    </row>
    <row r="40" spans="1:6" ht="15" customHeight="1" x14ac:dyDescent="0.25">
      <c r="A40" s="11" t="s">
        <v>153</v>
      </c>
      <c r="B40" s="12">
        <f>B6+B18+B39</f>
        <v>127675</v>
      </c>
      <c r="C40" s="12">
        <f>C6+C18+C39</f>
        <v>205903</v>
      </c>
      <c r="D40" s="12">
        <f>D6+D18+D39</f>
        <v>92044</v>
      </c>
      <c r="E40" s="13">
        <f t="shared" si="1"/>
        <v>-0.55297397318154662</v>
      </c>
    </row>
    <row r="42" spans="1:6" ht="15" customHeight="1" x14ac:dyDescent="0.25">
      <c r="A42" s="6" t="s">
        <v>154</v>
      </c>
    </row>
    <row r="43" spans="1:6" ht="15" customHeight="1" x14ac:dyDescent="0.25">
      <c r="A43" s="8" t="s">
        <v>155</v>
      </c>
      <c r="B43" s="9">
        <v>-171226</v>
      </c>
      <c r="C43" s="9">
        <v>-189422</v>
      </c>
      <c r="D43" s="9">
        <v>-162595</v>
      </c>
      <c r="E43" s="10">
        <f>IFERROR((D43-C43)/ABS(C43),"")</f>
        <v>0.14162557675454804</v>
      </c>
    </row>
    <row r="44" spans="1:6" ht="15" customHeight="1" x14ac:dyDescent="0.25">
      <c r="A44" s="8" t="s">
        <v>156</v>
      </c>
      <c r="B44" s="9">
        <v>-2068</v>
      </c>
      <c r="C44" s="9">
        <v>0</v>
      </c>
      <c r="D44" s="9">
        <v>0</v>
      </c>
      <c r="E44" s="10" t="str">
        <f>IFERROR((D44-C44)/ABS(C44),"")</f>
        <v/>
      </c>
    </row>
    <row r="45" spans="1:6" ht="15" customHeight="1" x14ac:dyDescent="0.25">
      <c r="A45" s="11" t="s">
        <v>157</v>
      </c>
      <c r="B45" s="12">
        <f>B43+B44</f>
        <v>-173294</v>
      </c>
      <c r="C45" s="12">
        <f>C43+C44</f>
        <v>-189422</v>
      </c>
      <c r="D45" s="12">
        <f>D43+D44</f>
        <v>-162595</v>
      </c>
      <c r="E45" s="13">
        <f>IFERROR((D45-C45)/ABS(C45),"")</f>
        <v>0.14162557675454804</v>
      </c>
    </row>
    <row r="47" spans="1:6" ht="15" customHeight="1" x14ac:dyDescent="0.25">
      <c r="A47" s="6" t="s">
        <v>158</v>
      </c>
    </row>
    <row r="48" spans="1:6" ht="15" customHeight="1" x14ac:dyDescent="0.25">
      <c r="A48" s="8" t="s">
        <v>159</v>
      </c>
      <c r="B48" s="9">
        <v>126581</v>
      </c>
      <c r="C48" s="9">
        <v>0</v>
      </c>
      <c r="D48" s="9">
        <v>0</v>
      </c>
      <c r="E48" s="10" t="str">
        <f t="shared" ref="E48:E54" si="2">IFERROR((D48-C48)/ABS(C48),"")</f>
        <v/>
      </c>
    </row>
    <row r="49" spans="1:6" ht="15" customHeight="1" x14ac:dyDescent="0.25">
      <c r="A49" s="8" t="s">
        <v>160</v>
      </c>
      <c r="B49" s="9">
        <v>0</v>
      </c>
      <c r="C49" s="9">
        <v>0</v>
      </c>
      <c r="D49" s="9">
        <v>4198</v>
      </c>
      <c r="E49" s="10" t="str">
        <f t="shared" si="2"/>
        <v/>
      </c>
    </row>
    <row r="50" spans="1:6" ht="15" customHeight="1" x14ac:dyDescent="0.25">
      <c r="A50" s="8" t="s">
        <v>161</v>
      </c>
      <c r="B50" s="9">
        <v>10431</v>
      </c>
      <c r="C50" s="9">
        <v>-23736</v>
      </c>
      <c r="D50" s="9">
        <v>-11370</v>
      </c>
      <c r="E50" s="10">
        <f t="shared" si="2"/>
        <v>0.52098078867542974</v>
      </c>
    </row>
    <row r="51" spans="1:6" ht="15" customHeight="1" x14ac:dyDescent="0.25">
      <c r="A51" s="8" t="s">
        <v>162</v>
      </c>
      <c r="B51" s="9">
        <v>-10141</v>
      </c>
      <c r="C51" s="9">
        <v>0</v>
      </c>
      <c r="D51" s="9">
        <v>1364</v>
      </c>
      <c r="E51" s="10" t="str">
        <f t="shared" si="2"/>
        <v/>
      </c>
      <c r="F51" s="19" t="s">
        <v>163</v>
      </c>
    </row>
    <row r="52" spans="1:6" ht="15" customHeight="1" x14ac:dyDescent="0.25">
      <c r="A52" s="8" t="s">
        <v>164</v>
      </c>
      <c r="B52" s="9">
        <v>64202</v>
      </c>
      <c r="C52" s="9">
        <v>0</v>
      </c>
      <c r="D52" s="9">
        <v>112015</v>
      </c>
      <c r="E52" s="10" t="str">
        <f t="shared" si="2"/>
        <v/>
      </c>
    </row>
    <row r="53" spans="1:6" ht="15" customHeight="1" x14ac:dyDescent="0.25">
      <c r="A53" s="8" t="s">
        <v>165</v>
      </c>
      <c r="B53" s="9">
        <v>-66036</v>
      </c>
      <c r="C53" s="9">
        <v>-44165</v>
      </c>
      <c r="D53" s="9">
        <v>-3815</v>
      </c>
      <c r="E53" s="10">
        <f t="shared" si="2"/>
        <v>0.91361938186346658</v>
      </c>
    </row>
    <row r="54" spans="1:6" ht="15" customHeight="1" x14ac:dyDescent="0.25">
      <c r="A54" s="11" t="s">
        <v>166</v>
      </c>
      <c r="B54" s="12">
        <f>SUM(B48:B53)</f>
        <v>125037</v>
      </c>
      <c r="C54" s="12">
        <f>SUM(C48:C53)</f>
        <v>-67901</v>
      </c>
      <c r="D54" s="12">
        <f>SUM(D48:D53)</f>
        <v>102392</v>
      </c>
      <c r="E54" s="13">
        <f t="shared" si="2"/>
        <v>2.5079601184076816</v>
      </c>
    </row>
    <row r="56" spans="1:6" ht="15" customHeight="1" x14ac:dyDescent="0.25">
      <c r="A56" s="11" t="s">
        <v>167</v>
      </c>
      <c r="B56" s="12">
        <f>B40+B45+B54</f>
        <v>79418</v>
      </c>
      <c r="C56" s="12">
        <f>C40+C45+C54</f>
        <v>-51420</v>
      </c>
      <c r="D56" s="12">
        <f>D40+D45+D54</f>
        <v>31841</v>
      </c>
      <c r="E56" s="13">
        <f>IFERROR((D56-C56)/ABS(C56),"")</f>
        <v>1.6192337611824192</v>
      </c>
    </row>
    <row r="57" spans="1:6" ht="15" customHeight="1" x14ac:dyDescent="0.25">
      <c r="A57" s="8" t="s">
        <v>168</v>
      </c>
      <c r="B57" s="9">
        <v>508</v>
      </c>
      <c r="C57" s="9">
        <v>79926</v>
      </c>
      <c r="D57" s="9">
        <v>28504</v>
      </c>
      <c r="E57" s="10">
        <f>IFERROR((D57-C57)/ABS(C57),"")</f>
        <v>-0.64337011735855665</v>
      </c>
    </row>
    <row r="58" spans="1:6" ht="15" customHeight="1" x14ac:dyDescent="0.25">
      <c r="A58" s="11" t="s">
        <v>169</v>
      </c>
      <c r="B58" s="12">
        <f>B57+B56</f>
        <v>79926</v>
      </c>
      <c r="C58" s="12">
        <f>C57+C56</f>
        <v>28506</v>
      </c>
      <c r="D58" s="12">
        <f>D57+D56</f>
        <v>60345</v>
      </c>
      <c r="E58" s="13">
        <f>IFERROR((D58-C58)/ABS(C58),"")</f>
        <v>1.1169227531046095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topLeftCell="A19" zoomScaleNormal="100" workbookViewId="0"/>
  </sheetViews>
  <sheetFormatPr defaultColWidth="8.7109375" defaultRowHeight="15" x14ac:dyDescent="0.25"/>
  <cols>
    <col min="1" max="1" width="58" customWidth="1"/>
    <col min="2" max="4" width="16" customWidth="1"/>
    <col min="5" max="5" width="12" customWidth="1"/>
    <col min="6" max="6" width="50" customWidth="1"/>
  </cols>
  <sheetData>
    <row r="1" spans="1:6" ht="17.25" customHeight="1" x14ac:dyDescent="0.25">
      <c r="A1" s="3" t="s">
        <v>170</v>
      </c>
    </row>
    <row r="2" spans="1:6" ht="15" customHeight="1" x14ac:dyDescent="0.25">
      <c r="A2" s="4" t="s">
        <v>171</v>
      </c>
    </row>
    <row r="4" spans="1:6" ht="1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15" customHeight="1" x14ac:dyDescent="0.25">
      <c r="A5" s="6" t="s">
        <v>172</v>
      </c>
    </row>
    <row r="6" spans="1:6" ht="15" customHeight="1" x14ac:dyDescent="0.25">
      <c r="A6" s="8" t="s">
        <v>71</v>
      </c>
      <c r="B6" s="9">
        <v>-70493</v>
      </c>
      <c r="C6" s="9">
        <v>-56589</v>
      </c>
      <c r="D6" s="9">
        <v>-126472</v>
      </c>
      <c r="E6" s="10">
        <f>IFERROR((D6-C6)/ABS(C6),"")</f>
        <v>-1.2349219813037871</v>
      </c>
    </row>
    <row r="7" spans="1:6" ht="15" customHeight="1" x14ac:dyDescent="0.25">
      <c r="A7" s="8" t="s">
        <v>173</v>
      </c>
      <c r="B7" s="9">
        <v>58879</v>
      </c>
      <c r="C7" s="9">
        <v>91932</v>
      </c>
      <c r="D7" s="9">
        <v>124676</v>
      </c>
      <c r="E7" s="10">
        <f>IFERROR((D7-C7)/ABS(C7),"")</f>
        <v>0.35617630422486185</v>
      </c>
    </row>
    <row r="8" spans="1:6" ht="15" customHeight="1" x14ac:dyDescent="0.25">
      <c r="A8" s="8" t="s">
        <v>174</v>
      </c>
      <c r="B8" s="9">
        <v>0</v>
      </c>
      <c r="C8" s="9">
        <v>2987</v>
      </c>
      <c r="D8" s="9">
        <v>3443</v>
      </c>
      <c r="E8" s="10">
        <f>IFERROR((D8-C8)/ABS(C8),"")</f>
        <v>0.1526615333110144</v>
      </c>
      <c r="F8" s="4" t="s">
        <v>175</v>
      </c>
    </row>
    <row r="9" spans="1:6" ht="15" customHeight="1" x14ac:dyDescent="0.25">
      <c r="A9" s="8" t="s">
        <v>176</v>
      </c>
      <c r="B9" s="9">
        <v>9196</v>
      </c>
      <c r="C9" s="9">
        <v>4755</v>
      </c>
      <c r="D9" s="9">
        <v>4943</v>
      </c>
      <c r="E9" s="10">
        <f>IFERROR((D9-C9)/ABS(C9),"")</f>
        <v>3.953732912723449E-2</v>
      </c>
    </row>
    <row r="10" spans="1:6" ht="15" customHeight="1" x14ac:dyDescent="0.25">
      <c r="A10" s="11" t="s">
        <v>177</v>
      </c>
      <c r="B10" s="12">
        <f>B6+B7+B8+B9</f>
        <v>-2418</v>
      </c>
      <c r="C10" s="12">
        <f>C6+C7+C8+C9</f>
        <v>43085</v>
      </c>
      <c r="D10" s="12">
        <f>D6+D7+D8+D9</f>
        <v>6590</v>
      </c>
      <c r="E10" s="13">
        <f>IFERROR((D10-C10)/ABS(C10),"")</f>
        <v>-0.84704653591737267</v>
      </c>
    </row>
    <row r="12" spans="1:6" ht="15" customHeight="1" x14ac:dyDescent="0.25">
      <c r="A12" s="6" t="s">
        <v>178</v>
      </c>
    </row>
    <row r="13" spans="1:6" ht="15" customHeight="1" x14ac:dyDescent="0.25">
      <c r="A13" s="8" t="s">
        <v>179</v>
      </c>
      <c r="B13" s="9">
        <v>-127181</v>
      </c>
      <c r="C13" s="9">
        <v>-170258</v>
      </c>
      <c r="D13" s="9">
        <v>-123866</v>
      </c>
      <c r="E13" s="10">
        <f>IFERROR((D13-C13)/ABS(C13),"")</f>
        <v>0.27248058828366362</v>
      </c>
    </row>
    <row r="14" spans="1:6" ht="15" customHeight="1" x14ac:dyDescent="0.25">
      <c r="A14" s="8" t="s">
        <v>180</v>
      </c>
      <c r="B14" s="9">
        <v>48981</v>
      </c>
      <c r="C14" s="9">
        <v>74826</v>
      </c>
      <c r="D14" s="9">
        <v>81257</v>
      </c>
      <c r="E14" s="10">
        <f>IFERROR((D14-C14)/ABS(C14),"")</f>
        <v>8.5946061529414905E-2</v>
      </c>
    </row>
    <row r="15" spans="1:6" ht="15" customHeight="1" x14ac:dyDescent="0.25">
      <c r="A15" s="11" t="s">
        <v>181</v>
      </c>
      <c r="B15" s="12">
        <f>B13+B14</f>
        <v>-78200</v>
      </c>
      <c r="C15" s="12">
        <f>C13+C14</f>
        <v>-95432</v>
      </c>
      <c r="D15" s="12">
        <f>D13+D14</f>
        <v>-42609</v>
      </c>
      <c r="E15" s="13">
        <f>IFERROR((D15-C15)/ABS(C15),"")</f>
        <v>0.55351454438762682</v>
      </c>
      <c r="F15" s="4" t="s">
        <v>182</v>
      </c>
    </row>
    <row r="16" spans="1:6" ht="15" customHeight="1" x14ac:dyDescent="0.25">
      <c r="A16" s="8" t="s">
        <v>183</v>
      </c>
      <c r="B16" s="9">
        <v>0</v>
      </c>
      <c r="C16" s="9">
        <v>0</v>
      </c>
      <c r="D16" s="9">
        <v>-114285</v>
      </c>
      <c r="E16" s="10" t="str">
        <f>IFERROR((D16-C16)/ABS(C16),"")</f>
        <v/>
      </c>
      <c r="F16" s="4" t="s">
        <v>184</v>
      </c>
    </row>
    <row r="17" spans="1:6" ht="15" customHeight="1" x14ac:dyDescent="0.25">
      <c r="A17" s="8" t="s">
        <v>185</v>
      </c>
      <c r="B17" s="9">
        <v>-55461</v>
      </c>
      <c r="C17" s="9">
        <v>0</v>
      </c>
      <c r="D17" s="9">
        <v>0</v>
      </c>
      <c r="E17" s="10" t="str">
        <f>IFERROR((D17-C17)/ABS(C17),"")</f>
        <v/>
      </c>
    </row>
    <row r="19" spans="1:6" ht="15" customHeight="1" x14ac:dyDescent="0.25">
      <c r="A19" s="11" t="s">
        <v>186</v>
      </c>
      <c r="B19" s="12">
        <f>B10+B15+B16+B17</f>
        <v>-136079</v>
      </c>
      <c r="C19" s="12">
        <f>C10+C15+C16+C17</f>
        <v>-52347</v>
      </c>
      <c r="D19" s="12">
        <f>D10+D15+D16+D17</f>
        <v>-150304</v>
      </c>
      <c r="E19" s="13">
        <f>IFERROR((D19-C19)/ABS(C19),"")</f>
        <v>-1.8713011251838692</v>
      </c>
    </row>
    <row r="20" spans="1:6" ht="15" customHeight="1" x14ac:dyDescent="0.25">
      <c r="A20" s="8" t="s">
        <v>187</v>
      </c>
      <c r="B20" s="20">
        <f>'Receita Detalhada'!B26</f>
        <v>170856.92481719036</v>
      </c>
      <c r="C20" s="20">
        <f>'Receita Detalhada'!C26</f>
        <v>282340</v>
      </c>
      <c r="D20" s="20">
        <f>'Receita Detalhada'!D26</f>
        <v>415294</v>
      </c>
      <c r="E20" s="10">
        <f>IFERROR((D20-C20)/ABS(C20),"")</f>
        <v>0.47090033293192607</v>
      </c>
    </row>
    <row r="21" spans="1:6" ht="15" customHeight="1" x14ac:dyDescent="0.25">
      <c r="A21" s="8" t="s">
        <v>188</v>
      </c>
      <c r="B21" s="10">
        <f>B19/B20</f>
        <v>-0.79645001304804441</v>
      </c>
      <c r="C21" s="10">
        <f>C19/C20</f>
        <v>-0.18540412268895659</v>
      </c>
      <c r="D21" s="10">
        <f>D19/D20</f>
        <v>-0.3619219155586163</v>
      </c>
      <c r="E21" s="10">
        <f>IFERROR((D21-C21)/ABS(C21),"")</f>
        <v>-0.95207048424589225</v>
      </c>
    </row>
    <row r="23" spans="1:6" ht="15" customHeight="1" x14ac:dyDescent="0.25">
      <c r="A23" s="6" t="s">
        <v>189</v>
      </c>
    </row>
    <row r="24" spans="1:6" ht="15" customHeight="1" x14ac:dyDescent="0.25">
      <c r="A24" s="11" t="s">
        <v>190</v>
      </c>
      <c r="B24" s="12">
        <f>-B19</f>
        <v>136079</v>
      </c>
      <c r="C24" s="12">
        <f>-C19</f>
        <v>52347</v>
      </c>
      <c r="D24" s="12">
        <f>-D19</f>
        <v>150304</v>
      </c>
      <c r="E24" s="13">
        <f>IFERROR((D24-C24)/ABS(C24),"")</f>
        <v>1.8713011251838692</v>
      </c>
      <c r="F24" s="4" t="s">
        <v>191</v>
      </c>
    </row>
    <row r="25" spans="1:6" ht="15" customHeight="1" x14ac:dyDescent="0.25">
      <c r="A25" s="8" t="s">
        <v>192</v>
      </c>
      <c r="B25" s="20">
        <f>-B15</f>
        <v>78200</v>
      </c>
      <c r="C25" s="20">
        <f>-C15</f>
        <v>95432</v>
      </c>
      <c r="D25" s="20">
        <f>-D15</f>
        <v>42609</v>
      </c>
      <c r="E25" s="10">
        <f>IFERROR((D25-C25)/ABS(C25),"")</f>
        <v>-0.55351454438762682</v>
      </c>
    </row>
    <row r="26" spans="1:6" ht="15" customHeight="1" x14ac:dyDescent="0.25">
      <c r="A26" s="11" t="s">
        <v>193</v>
      </c>
      <c r="B26" s="12">
        <f>-B19-B25</f>
        <v>57879</v>
      </c>
      <c r="C26" s="12">
        <f>-C19-C25</f>
        <v>-43085</v>
      </c>
      <c r="D26" s="12">
        <f>-D19-D25</f>
        <v>107695</v>
      </c>
      <c r="E26" s="13">
        <f>IFERROR((D26-C26)/ABS(C26),"")</f>
        <v>3.4995938261575956</v>
      </c>
    </row>
    <row r="28" spans="1:6" ht="15" customHeight="1" x14ac:dyDescent="0.25">
      <c r="A28" s="2" t="s">
        <v>59</v>
      </c>
      <c r="B28" s="2"/>
      <c r="C28" s="2"/>
      <c r="D28" s="2"/>
      <c r="E28" s="2"/>
      <c r="F28" s="2"/>
    </row>
    <row r="29" spans="1:6" ht="15" customHeight="1" x14ac:dyDescent="0.25">
      <c r="A29" s="2" t="s">
        <v>194</v>
      </c>
      <c r="B29" s="2"/>
      <c r="C29" s="2"/>
      <c r="D29" s="2"/>
      <c r="E29" s="2"/>
      <c r="F29" s="2"/>
    </row>
    <row r="30" spans="1:6" ht="15" customHeight="1" x14ac:dyDescent="0.25">
      <c r="A30" s="2" t="s">
        <v>195</v>
      </c>
      <c r="B30" s="2"/>
      <c r="C30" s="2"/>
      <c r="D30" s="2"/>
      <c r="E30" s="2"/>
      <c r="F30" s="2"/>
    </row>
    <row r="31" spans="1:6" ht="15" customHeight="1" x14ac:dyDescent="0.25">
      <c r="A31" s="2" t="s">
        <v>196</v>
      </c>
      <c r="B31" s="2"/>
      <c r="C31" s="2"/>
      <c r="D31" s="2"/>
      <c r="E31" s="2"/>
      <c r="F31" s="2"/>
    </row>
    <row r="32" spans="1:6" ht="15" customHeight="1" x14ac:dyDescent="0.25">
      <c r="A32" s="2" t="s">
        <v>197</v>
      </c>
      <c r="B32" s="2"/>
      <c r="C32" s="2"/>
      <c r="D32" s="2"/>
      <c r="E32" s="2"/>
      <c r="F32" s="2"/>
    </row>
    <row r="33" spans="1:6" ht="15" customHeight="1" x14ac:dyDescent="0.25">
      <c r="A33" s="2" t="s">
        <v>198</v>
      </c>
      <c r="B33" s="2"/>
      <c r="C33" s="2"/>
      <c r="D33" s="2"/>
      <c r="E33" s="2"/>
      <c r="F33" s="2"/>
    </row>
  </sheetData>
  <mergeCells count="6">
    <mergeCell ref="A33:F33"/>
    <mergeCell ref="A28:F28"/>
    <mergeCell ref="A29:F29"/>
    <mergeCell ref="A30:F30"/>
    <mergeCell ref="A31:F31"/>
    <mergeCell ref="A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topLeftCell="A40" zoomScaleNormal="100" workbookViewId="0"/>
  </sheetViews>
  <sheetFormatPr defaultColWidth="8.7109375" defaultRowHeight="15" x14ac:dyDescent="0.25"/>
  <cols>
    <col min="1" max="1" width="48" customWidth="1"/>
    <col min="2" max="4" width="16" customWidth="1"/>
    <col min="5" max="5" width="12" customWidth="1"/>
    <col min="6" max="6" width="50" customWidth="1"/>
  </cols>
  <sheetData>
    <row r="1" spans="1:6" ht="17.25" customHeight="1" x14ac:dyDescent="0.25">
      <c r="A1" s="3" t="s">
        <v>199</v>
      </c>
    </row>
    <row r="2" spans="1:6" ht="15" customHeight="1" x14ac:dyDescent="0.25">
      <c r="A2" s="4" t="s">
        <v>200</v>
      </c>
    </row>
    <row r="4" spans="1:6" ht="15" customHeight="1" x14ac:dyDescent="0.25">
      <c r="A4" s="5" t="s">
        <v>201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202</v>
      </c>
    </row>
    <row r="5" spans="1:6" ht="15" customHeight="1" x14ac:dyDescent="0.25">
      <c r="A5" s="6" t="s">
        <v>203</v>
      </c>
    </row>
    <row r="6" spans="1:6" ht="15" customHeight="1" x14ac:dyDescent="0.25">
      <c r="A6" s="8" t="s">
        <v>204</v>
      </c>
      <c r="B6" s="9">
        <v>79926</v>
      </c>
      <c r="C6" s="9">
        <v>28504</v>
      </c>
      <c r="D6" s="9">
        <v>60344</v>
      </c>
      <c r="E6" s="10">
        <f>IFERROR((D6-C6)/ABS(C6),"")</f>
        <v>1.1170362054448499</v>
      </c>
    </row>
    <row r="7" spans="1:6" ht="15" customHeight="1" x14ac:dyDescent="0.25">
      <c r="A7" s="8" t="s">
        <v>205</v>
      </c>
      <c r="B7" s="9">
        <v>-199013</v>
      </c>
      <c r="C7" s="9">
        <v>-278515</v>
      </c>
      <c r="D7" s="9">
        <v>-204464</v>
      </c>
      <c r="E7" s="10">
        <f>IFERROR((D7-C7)/ABS(C7),"")</f>
        <v>0.26587795989444013</v>
      </c>
    </row>
    <row r="8" spans="1:6" ht="15" customHeight="1" x14ac:dyDescent="0.25">
      <c r="A8" s="8" t="s">
        <v>57</v>
      </c>
      <c r="B8" s="21">
        <v>0.46400000000000002</v>
      </c>
      <c r="C8" s="21">
        <v>0.40799999999999997</v>
      </c>
      <c r="D8" s="21">
        <v>0.46800000000000003</v>
      </c>
      <c r="E8" s="10">
        <f>IFERROR((D8-C8)/ABS(C8),"")</f>
        <v>0.14705882352941191</v>
      </c>
    </row>
    <row r="9" spans="1:6" ht="15" customHeight="1" x14ac:dyDescent="0.25">
      <c r="A9" s="8" t="s">
        <v>206</v>
      </c>
      <c r="B9" s="10">
        <f>B6/DRE!B5</f>
        <v>0.35987950884997594</v>
      </c>
      <c r="C9" s="10">
        <f>C6/DRE!C5</f>
        <v>0.10095629383013388</v>
      </c>
      <c r="D9" s="10">
        <f>D6/DRE!D5</f>
        <v>0.14580141974204958</v>
      </c>
      <c r="E9" s="10">
        <f>IFERROR((D9-C9)/ABS(C9),"")</f>
        <v>0.44420336970145513</v>
      </c>
    </row>
    <row r="11" spans="1:6" ht="15" customHeight="1" x14ac:dyDescent="0.25">
      <c r="A11" s="6" t="s">
        <v>207</v>
      </c>
    </row>
    <row r="12" spans="1:6" ht="15" customHeight="1" x14ac:dyDescent="0.25">
      <c r="A12" s="8" t="s">
        <v>208</v>
      </c>
      <c r="B12" s="9">
        <v>-612910</v>
      </c>
      <c r="C12" s="9">
        <v>-734270</v>
      </c>
      <c r="D12" s="9">
        <v>-647490</v>
      </c>
      <c r="E12" s="10">
        <f>IFERROR((D12-C12)/ABS(C12),"")</f>
        <v>0.11818540863714982</v>
      </c>
    </row>
    <row r="13" spans="1:6" ht="15" customHeight="1" x14ac:dyDescent="0.25">
      <c r="A13" s="8" t="s">
        <v>209</v>
      </c>
      <c r="B13" s="9">
        <v>-592624</v>
      </c>
      <c r="C13" s="9">
        <v>-592624</v>
      </c>
      <c r="D13" s="9">
        <v>-592624</v>
      </c>
      <c r="E13" s="10">
        <f>IFERROR((D13-C13)/ABS(C13),"")</f>
        <v>0</v>
      </c>
    </row>
    <row r="14" spans="1:6" ht="15" customHeight="1" x14ac:dyDescent="0.25">
      <c r="A14" s="8" t="s">
        <v>210</v>
      </c>
      <c r="B14" s="9">
        <v>-383419</v>
      </c>
      <c r="C14" s="9">
        <v>-383419</v>
      </c>
      <c r="D14" s="9">
        <v>-383419</v>
      </c>
      <c r="E14" s="10">
        <f>IFERROR((D14-C14)/ABS(C14),"")</f>
        <v>0</v>
      </c>
    </row>
    <row r="15" spans="1:6" ht="15" customHeight="1" x14ac:dyDescent="0.25">
      <c r="A15" s="8" t="s">
        <v>211</v>
      </c>
      <c r="B15" s="9">
        <v>44656</v>
      </c>
      <c r="C15" s="9">
        <v>4330</v>
      </c>
      <c r="D15" s="9">
        <v>99379</v>
      </c>
      <c r="E15" s="10">
        <f>IFERROR((D15-C15)/ABS(C15),"")</f>
        <v>21.951270207852193</v>
      </c>
      <c r="F15" s="4" t="s">
        <v>212</v>
      </c>
    </row>
    <row r="17" spans="1:5" ht="15" customHeight="1" x14ac:dyDescent="0.25">
      <c r="A17" s="6" t="s">
        <v>213</v>
      </c>
    </row>
    <row r="18" spans="1:5" ht="15" customHeight="1" x14ac:dyDescent="0.25">
      <c r="A18" s="8" t="s">
        <v>214</v>
      </c>
      <c r="B18" s="9">
        <v>222091</v>
      </c>
      <c r="C18" s="9">
        <v>282340</v>
      </c>
      <c r="D18" s="9">
        <v>413878</v>
      </c>
      <c r="E18" s="10">
        <f>IFERROR((D18-C18)/ABS(C18),"")</f>
        <v>0.46588510306722392</v>
      </c>
    </row>
    <row r="19" spans="1:5" ht="15" customHeight="1" x14ac:dyDescent="0.25">
      <c r="A19" s="8" t="s">
        <v>177</v>
      </c>
      <c r="B19" s="20">
        <f>'Operacional Puro'!B10</f>
        <v>-2418</v>
      </c>
      <c r="C19" s="20">
        <f>'Operacional Puro'!C10</f>
        <v>43085</v>
      </c>
      <c r="D19" s="20">
        <f>'Operacional Puro'!D10</f>
        <v>6590</v>
      </c>
      <c r="E19" s="10">
        <f>IFERROR((D19-C19)/ABS(C19),"")</f>
        <v>-0.84704653591737267</v>
      </c>
    </row>
    <row r="20" spans="1:5" ht="15" customHeight="1" x14ac:dyDescent="0.25">
      <c r="A20" s="8" t="s">
        <v>215</v>
      </c>
      <c r="B20" s="20">
        <f>'Operacional Puro'!B19</f>
        <v>-136079</v>
      </c>
      <c r="C20" s="20">
        <f>'Operacional Puro'!C19</f>
        <v>-52347</v>
      </c>
      <c r="D20" s="20">
        <f>'Operacional Puro'!D19</f>
        <v>-150304</v>
      </c>
      <c r="E20" s="10">
        <f>IFERROR((D20-C20)/ABS(C20),"")</f>
        <v>-1.8713011251838692</v>
      </c>
    </row>
    <row r="21" spans="1:5" ht="15" customHeight="1" x14ac:dyDescent="0.25">
      <c r="A21" s="8" t="s">
        <v>216</v>
      </c>
      <c r="B21" s="20">
        <f>'Operacional Puro'!B26</f>
        <v>57879</v>
      </c>
      <c r="C21" s="20">
        <f>'Operacional Puro'!C26</f>
        <v>-43085</v>
      </c>
      <c r="D21" s="20">
        <f>'Operacional Puro'!D26</f>
        <v>107695</v>
      </c>
      <c r="E21" s="10">
        <f>IFERROR((D21-C21)/ABS(C21),"")</f>
        <v>3.4995938261575956</v>
      </c>
    </row>
    <row r="23" spans="1:5" ht="15" customHeight="1" x14ac:dyDescent="0.25">
      <c r="A23" s="6" t="s">
        <v>217</v>
      </c>
    </row>
    <row r="24" spans="1:5" ht="15" customHeight="1" x14ac:dyDescent="0.25">
      <c r="A24" s="8" t="s">
        <v>218</v>
      </c>
      <c r="B24" s="9">
        <v>171226</v>
      </c>
      <c r="C24" s="9">
        <v>189422</v>
      </c>
      <c r="D24" s="9">
        <v>162595</v>
      </c>
      <c r="E24" s="10">
        <f>IFERROR((D24-C24)/ABS(C24),"")</f>
        <v>-0.14162557675454804</v>
      </c>
    </row>
    <row r="25" spans="1:5" ht="15" customHeight="1" x14ac:dyDescent="0.25">
      <c r="A25" s="8" t="s">
        <v>219</v>
      </c>
      <c r="B25" s="9">
        <v>145701</v>
      </c>
      <c r="C25" s="9">
        <v>178973</v>
      </c>
      <c r="D25" s="9">
        <v>232489</v>
      </c>
      <c r="E25" s="10">
        <f>IFERROR((D25-C25)/ABS(C25),"")</f>
        <v>0.29901717018768192</v>
      </c>
    </row>
    <row r="26" spans="1:5" ht="15" customHeight="1" x14ac:dyDescent="0.25">
      <c r="A26" s="8" t="s">
        <v>220</v>
      </c>
      <c r="B26" s="20">
        <f>B25/12</f>
        <v>12141.75</v>
      </c>
      <c r="C26" s="20">
        <f>C25/12</f>
        <v>14914.416666666666</v>
      </c>
      <c r="D26" s="20">
        <f>D25/12</f>
        <v>19374.083333333332</v>
      </c>
      <c r="E26" s="10">
        <f>IFERROR((D26-C26)/ABS(C26),"")</f>
        <v>0.29901717018768192</v>
      </c>
    </row>
    <row r="27" spans="1:5" ht="15" customHeight="1" x14ac:dyDescent="0.25">
      <c r="A27" s="8" t="s">
        <v>221</v>
      </c>
      <c r="B27" s="10">
        <f>B25/DRE!B5</f>
        <v>0.65604189273766156</v>
      </c>
      <c r="C27" s="10">
        <f>C25/DRE!C5</f>
        <v>0.63389176170574479</v>
      </c>
      <c r="D27" s="10">
        <f>D25/DRE!D5</f>
        <v>0.56173316774508431</v>
      </c>
      <c r="E27" s="10">
        <f>IFERROR((D27-C27)/ABS(C27),"")</f>
        <v>-0.11383425108174353</v>
      </c>
    </row>
    <row r="29" spans="1:5" ht="15" customHeight="1" x14ac:dyDescent="0.25">
      <c r="A29" s="6" t="s">
        <v>222</v>
      </c>
    </row>
    <row r="30" spans="1:5" ht="15" customHeight="1" x14ac:dyDescent="0.25">
      <c r="A30" s="22" t="s">
        <v>223</v>
      </c>
      <c r="B30" s="22" t="s">
        <v>224</v>
      </c>
      <c r="C30" s="22" t="s">
        <v>225</v>
      </c>
      <c r="D30" s="22" t="s">
        <v>225</v>
      </c>
    </row>
    <row r="31" spans="1:5" ht="23.25" customHeight="1" x14ac:dyDescent="0.25">
      <c r="A31" s="23" t="s">
        <v>226</v>
      </c>
      <c r="B31" s="23" t="s">
        <v>227</v>
      </c>
      <c r="C31" s="23" t="s">
        <v>228</v>
      </c>
      <c r="D31" s="23" t="s">
        <v>229</v>
      </c>
    </row>
    <row r="32" spans="1:5" ht="42.75" customHeight="1" x14ac:dyDescent="0.25">
      <c r="A32" s="24" t="s">
        <v>230</v>
      </c>
      <c r="B32" s="24" t="s">
        <v>231</v>
      </c>
      <c r="C32" s="24" t="s">
        <v>232</v>
      </c>
      <c r="D32" s="24" t="s">
        <v>233</v>
      </c>
    </row>
    <row r="34" spans="1:6" ht="15" customHeight="1" x14ac:dyDescent="0.25">
      <c r="A34" s="6" t="s">
        <v>234</v>
      </c>
    </row>
    <row r="35" spans="1:6" ht="199.5" customHeight="1" x14ac:dyDescent="0.25">
      <c r="A35" s="1" t="s">
        <v>235</v>
      </c>
      <c r="B35" s="1"/>
      <c r="C35" s="1"/>
      <c r="D35" s="1"/>
      <c r="E35" s="1"/>
      <c r="F35" s="1"/>
    </row>
  </sheetData>
  <mergeCells count="1">
    <mergeCell ref="A35:F3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"/>
  <sheetViews>
    <sheetView topLeftCell="A25" zoomScaleNormal="100" workbookViewId="0">
      <selection activeCell="E7" sqref="E7"/>
    </sheetView>
  </sheetViews>
  <sheetFormatPr defaultColWidth="8.7109375" defaultRowHeight="15" x14ac:dyDescent="0.25"/>
  <cols>
    <col min="1" max="1" width="50" customWidth="1"/>
    <col min="2" max="4" width="16" customWidth="1"/>
    <col min="5" max="5" width="50" customWidth="1"/>
  </cols>
  <sheetData>
    <row r="1" spans="1:5" ht="17.25" customHeight="1" x14ac:dyDescent="0.25">
      <c r="A1" s="3" t="s">
        <v>236</v>
      </c>
    </row>
    <row r="2" spans="1:5" ht="15" customHeight="1" x14ac:dyDescent="0.25">
      <c r="A2" s="4" t="s">
        <v>237</v>
      </c>
    </row>
    <row r="4" spans="1:5" ht="15" customHeight="1" x14ac:dyDescent="0.25">
      <c r="B4" s="25" t="s">
        <v>238</v>
      </c>
      <c r="C4" s="26" t="s">
        <v>239</v>
      </c>
      <c r="D4" s="27" t="s">
        <v>240</v>
      </c>
      <c r="E4" s="28" t="s">
        <v>241</v>
      </c>
    </row>
    <row r="5" spans="1:5" ht="15" customHeight="1" x14ac:dyDescent="0.25">
      <c r="A5" s="6" t="s">
        <v>242</v>
      </c>
    </row>
    <row r="6" spans="1:5" ht="60.75" customHeight="1" x14ac:dyDescent="0.25">
      <c r="A6" s="22" t="s">
        <v>243</v>
      </c>
      <c r="B6" s="29">
        <v>-7.4999999999999997E-2</v>
      </c>
      <c r="C6" s="29">
        <v>-0.15</v>
      </c>
      <c r="D6" s="29">
        <v>-0.25</v>
      </c>
      <c r="E6" s="30" t="s">
        <v>244</v>
      </c>
    </row>
    <row r="8" spans="1:5" ht="15" customHeight="1" x14ac:dyDescent="0.25">
      <c r="A8" s="6" t="s">
        <v>245</v>
      </c>
    </row>
    <row r="9" spans="1:5" ht="53.25" customHeight="1" x14ac:dyDescent="0.25">
      <c r="A9" s="22" t="s">
        <v>246</v>
      </c>
      <c r="B9" s="29">
        <v>-0.2</v>
      </c>
      <c r="C9" s="29">
        <v>-0.12</v>
      </c>
      <c r="D9" s="29">
        <v>-0.12</v>
      </c>
      <c r="E9" s="30" t="s">
        <v>247</v>
      </c>
    </row>
    <row r="11" spans="1:5" ht="15" customHeight="1" x14ac:dyDescent="0.25">
      <c r="A11" s="6" t="s">
        <v>248</v>
      </c>
    </row>
    <row r="12" spans="1:5" ht="15" customHeight="1" x14ac:dyDescent="0.25">
      <c r="A12" s="22" t="s">
        <v>249</v>
      </c>
      <c r="B12" s="31">
        <v>220000</v>
      </c>
      <c r="C12" s="31">
        <v>220000</v>
      </c>
      <c r="D12" s="31">
        <v>220000</v>
      </c>
      <c r="E12" s="4" t="s">
        <v>250</v>
      </c>
    </row>
    <row r="13" spans="1:5" ht="15" customHeight="1" x14ac:dyDescent="0.25">
      <c r="A13" s="22" t="s">
        <v>251</v>
      </c>
      <c r="B13" s="29">
        <v>0.12</v>
      </c>
      <c r="C13" s="29">
        <v>0.12</v>
      </c>
      <c r="D13" s="29">
        <v>0.12</v>
      </c>
      <c r="E13" s="4" t="s">
        <v>252</v>
      </c>
    </row>
    <row r="14" spans="1:5" ht="15" customHeight="1" x14ac:dyDescent="0.25">
      <c r="A14" s="22" t="s">
        <v>253</v>
      </c>
      <c r="B14" s="29">
        <v>0.18</v>
      </c>
      <c r="C14" s="29">
        <v>0.18</v>
      </c>
      <c r="D14" s="29">
        <v>0.18</v>
      </c>
      <c r="E14" s="4" t="s">
        <v>254</v>
      </c>
    </row>
    <row r="15" spans="1:5" ht="15" customHeight="1" x14ac:dyDescent="0.25">
      <c r="A15" s="22" t="s">
        <v>255</v>
      </c>
      <c r="B15" s="29">
        <v>0</v>
      </c>
      <c r="C15" s="29">
        <v>0</v>
      </c>
      <c r="D15" s="29">
        <v>0</v>
      </c>
      <c r="E15" s="4" t="s">
        <v>256</v>
      </c>
    </row>
    <row r="16" spans="1:5" ht="15" customHeight="1" x14ac:dyDescent="0.25">
      <c r="A16" s="22" t="s">
        <v>257</v>
      </c>
      <c r="B16" s="29">
        <v>1</v>
      </c>
      <c r="C16" s="29">
        <v>1</v>
      </c>
      <c r="D16" s="29">
        <v>1</v>
      </c>
      <c r="E16" s="4" t="s">
        <v>258</v>
      </c>
    </row>
    <row r="18" spans="1:5" ht="15" customHeight="1" x14ac:dyDescent="0.25">
      <c r="A18" s="6" t="s">
        <v>259</v>
      </c>
    </row>
    <row r="19" spans="1:5" ht="31.5" customHeight="1" x14ac:dyDescent="0.25">
      <c r="A19" s="22" t="s">
        <v>260</v>
      </c>
      <c r="B19" s="31">
        <v>80000</v>
      </c>
      <c r="C19" s="31">
        <v>80000</v>
      </c>
      <c r="D19" s="31">
        <v>130000</v>
      </c>
      <c r="E19" s="30" t="s">
        <v>261</v>
      </c>
    </row>
    <row r="20" spans="1:5" ht="15" customHeight="1" x14ac:dyDescent="0.25">
      <c r="A20" s="22" t="s">
        <v>262</v>
      </c>
      <c r="B20" s="29">
        <v>0.4</v>
      </c>
      <c r="C20" s="29">
        <v>0.4</v>
      </c>
      <c r="D20" s="29">
        <v>0.4</v>
      </c>
      <c r="E20" s="4" t="s">
        <v>263</v>
      </c>
    </row>
    <row r="22" spans="1:5" ht="15" customHeight="1" x14ac:dyDescent="0.25">
      <c r="A22" s="6" t="s">
        <v>264</v>
      </c>
    </row>
    <row r="23" spans="1:5" ht="31.5" customHeight="1" x14ac:dyDescent="0.25">
      <c r="A23" s="22" t="s">
        <v>265</v>
      </c>
      <c r="B23" s="31">
        <v>95000</v>
      </c>
      <c r="C23" s="31">
        <v>100000</v>
      </c>
      <c r="D23" s="31">
        <v>105000</v>
      </c>
      <c r="E23" s="30" t="s">
        <v>266</v>
      </c>
    </row>
    <row r="24" spans="1:5" ht="31.5" customHeight="1" x14ac:dyDescent="0.25">
      <c r="A24" s="22" t="s">
        <v>267</v>
      </c>
      <c r="B24" s="31">
        <v>35000</v>
      </c>
      <c r="C24" s="31">
        <v>40000</v>
      </c>
      <c r="D24" s="31">
        <v>45000</v>
      </c>
      <c r="E24" s="30" t="s">
        <v>268</v>
      </c>
    </row>
    <row r="26" spans="1:5" ht="15" customHeight="1" x14ac:dyDescent="0.25">
      <c r="A26" s="6" t="s">
        <v>269</v>
      </c>
    </row>
    <row r="27" spans="1:5" ht="31.5" customHeight="1" x14ac:dyDescent="0.25">
      <c r="A27" s="22" t="s">
        <v>270</v>
      </c>
      <c r="B27" s="31">
        <v>8000</v>
      </c>
      <c r="C27" s="31">
        <v>9000</v>
      </c>
      <c r="D27" s="31">
        <v>10000</v>
      </c>
      <c r="E27" s="30" t="s">
        <v>271</v>
      </c>
    </row>
    <row r="28" spans="1:5" ht="15" customHeight="1" x14ac:dyDescent="0.25">
      <c r="A28" s="22" t="s">
        <v>272</v>
      </c>
      <c r="B28" s="31">
        <v>4000</v>
      </c>
      <c r="C28" s="31">
        <v>5000</v>
      </c>
      <c r="D28" s="31">
        <v>6000</v>
      </c>
      <c r="E28" s="4" t="s">
        <v>273</v>
      </c>
    </row>
    <row r="29" spans="1:5" ht="15" customHeight="1" x14ac:dyDescent="0.25">
      <c r="A29" s="22" t="s">
        <v>274</v>
      </c>
      <c r="B29" s="31">
        <v>3000</v>
      </c>
      <c r="C29" s="31">
        <v>4000</v>
      </c>
      <c r="D29" s="31">
        <v>5000</v>
      </c>
      <c r="E29" s="4" t="s">
        <v>275</v>
      </c>
    </row>
    <row r="30" spans="1:5" ht="15" customHeight="1" x14ac:dyDescent="0.25">
      <c r="A30" s="22" t="s">
        <v>276</v>
      </c>
      <c r="B30" s="31">
        <v>4000</v>
      </c>
      <c r="C30" s="31">
        <v>5000</v>
      </c>
      <c r="D30" s="31">
        <v>6000</v>
      </c>
      <c r="E30" s="4" t="s">
        <v>277</v>
      </c>
    </row>
    <row r="31" spans="1:5" ht="15" customHeight="1" x14ac:dyDescent="0.25">
      <c r="A31" s="22" t="s">
        <v>278</v>
      </c>
      <c r="B31" s="31">
        <v>6000</v>
      </c>
      <c r="C31" s="31">
        <v>8000</v>
      </c>
      <c r="D31" s="31">
        <v>12000</v>
      </c>
      <c r="E31" s="4" t="s">
        <v>279</v>
      </c>
    </row>
    <row r="32" spans="1:5" ht="15" customHeight="1" x14ac:dyDescent="0.25">
      <c r="A32" s="11" t="s">
        <v>280</v>
      </c>
      <c r="B32" s="32">
        <f>SUM(B27:B31)</f>
        <v>25000</v>
      </c>
      <c r="C32" s="32">
        <f>SUM(C27:C31)</f>
        <v>31000</v>
      </c>
      <c r="D32" s="32">
        <f>SUM(D27:D31)</f>
        <v>39000</v>
      </c>
    </row>
    <row r="34" spans="1:5" ht="15" customHeight="1" x14ac:dyDescent="0.25">
      <c r="A34" s="6" t="s">
        <v>281</v>
      </c>
    </row>
    <row r="35" spans="1:5" ht="15" customHeight="1" x14ac:dyDescent="0.25">
      <c r="A35" s="22" t="s">
        <v>282</v>
      </c>
      <c r="B35" s="31">
        <v>38000</v>
      </c>
      <c r="C35" s="31">
        <v>38000</v>
      </c>
      <c r="D35" s="31">
        <v>38000</v>
      </c>
      <c r="E35" s="4" t="s">
        <v>283</v>
      </c>
    </row>
    <row r="36" spans="1:5" ht="31.5" customHeight="1" x14ac:dyDescent="0.25">
      <c r="A36" s="22" t="s">
        <v>284</v>
      </c>
      <c r="B36" s="31">
        <v>80000</v>
      </c>
      <c r="C36" s="31">
        <v>95000</v>
      </c>
      <c r="D36" s="31">
        <v>110000</v>
      </c>
      <c r="E36" s="30" t="s">
        <v>285</v>
      </c>
    </row>
    <row r="37" spans="1:5" ht="31.5" customHeight="1" x14ac:dyDescent="0.25">
      <c r="A37" s="22" t="s">
        <v>286</v>
      </c>
      <c r="B37" s="31">
        <v>25000</v>
      </c>
      <c r="C37" s="31">
        <v>30000</v>
      </c>
      <c r="D37" s="31">
        <v>35000</v>
      </c>
      <c r="E37" s="30" t="s">
        <v>287</v>
      </c>
    </row>
    <row r="38" spans="1:5" ht="15" customHeight="1" x14ac:dyDescent="0.25">
      <c r="A38" s="22" t="s">
        <v>288</v>
      </c>
      <c r="B38" s="31">
        <v>18500</v>
      </c>
      <c r="C38" s="31">
        <v>17000</v>
      </c>
      <c r="D38" s="31">
        <v>15000</v>
      </c>
      <c r="E38" s="4" t="s">
        <v>289</v>
      </c>
    </row>
    <row r="40" spans="1:5" ht="15" customHeight="1" x14ac:dyDescent="0.25">
      <c r="A40" s="2" t="s">
        <v>290</v>
      </c>
      <c r="B40" s="2"/>
      <c r="C40" s="2"/>
      <c r="D40" s="2"/>
      <c r="E40" s="2"/>
    </row>
    <row r="41" spans="1:5" ht="15" customHeight="1" x14ac:dyDescent="0.25">
      <c r="A41" s="2" t="s">
        <v>291</v>
      </c>
      <c r="B41" s="2"/>
      <c r="C41" s="2"/>
      <c r="D41" s="2"/>
      <c r="E41" s="2"/>
    </row>
    <row r="42" spans="1:5" ht="15" customHeight="1" x14ac:dyDescent="0.25">
      <c r="A42" s="2" t="s">
        <v>292</v>
      </c>
      <c r="B42" s="2"/>
      <c r="C42" s="2"/>
      <c r="D42" s="2"/>
      <c r="E42" s="2"/>
    </row>
    <row r="43" spans="1:5" ht="15" customHeight="1" x14ac:dyDescent="0.25">
      <c r="A43" s="2" t="s">
        <v>293</v>
      </c>
      <c r="B43" s="2"/>
      <c r="C43" s="2"/>
      <c r="D43" s="2"/>
      <c r="E43" s="2"/>
    </row>
    <row r="44" spans="1:5" ht="15" customHeight="1" x14ac:dyDescent="0.25">
      <c r="A44" s="2" t="s">
        <v>294</v>
      </c>
      <c r="B44" s="2"/>
      <c r="C44" s="2"/>
      <c r="D44" s="2"/>
      <c r="E44" s="2"/>
    </row>
    <row r="47" spans="1:5" ht="15" customHeight="1" x14ac:dyDescent="0.25">
      <c r="A47" s="6" t="s">
        <v>295</v>
      </c>
    </row>
    <row r="48" spans="1:5" ht="15" customHeight="1" x14ac:dyDescent="0.25">
      <c r="B48" s="25" t="s">
        <v>238</v>
      </c>
      <c r="C48" s="26" t="s">
        <v>239</v>
      </c>
      <c r="D48" s="27" t="s">
        <v>240</v>
      </c>
      <c r="E48" s="28" t="s">
        <v>241</v>
      </c>
    </row>
    <row r="49" spans="1:5" ht="15" customHeight="1" x14ac:dyDescent="0.25">
      <c r="A49" s="22" t="s">
        <v>296</v>
      </c>
      <c r="B49" s="29">
        <v>0</v>
      </c>
      <c r="C49" s="29">
        <v>-0.05</v>
      </c>
      <c r="D49" s="29">
        <v>-0.1</v>
      </c>
      <c r="E49" s="4" t="s">
        <v>297</v>
      </c>
    </row>
    <row r="50" spans="1:5" ht="15" customHeight="1" x14ac:dyDescent="0.25">
      <c r="A50" s="22" t="s">
        <v>298</v>
      </c>
      <c r="B50" s="29">
        <v>0</v>
      </c>
      <c r="C50" s="29">
        <v>0.05</v>
      </c>
      <c r="D50" s="29">
        <v>0.1</v>
      </c>
      <c r="E50" s="4" t="s">
        <v>299</v>
      </c>
    </row>
    <row r="51" spans="1:5" ht="15" customHeight="1" x14ac:dyDescent="0.25">
      <c r="A51" s="22" t="s">
        <v>300</v>
      </c>
      <c r="B51" s="31">
        <v>110000</v>
      </c>
      <c r="C51" s="31">
        <v>100000</v>
      </c>
      <c r="D51" s="31">
        <v>90000</v>
      </c>
      <c r="E51" s="4" t="s">
        <v>301</v>
      </c>
    </row>
    <row r="52" spans="1:5" ht="31.5" customHeight="1" x14ac:dyDescent="0.25">
      <c r="A52" s="22" t="s">
        <v>302</v>
      </c>
      <c r="B52" s="31">
        <v>15000</v>
      </c>
      <c r="C52" s="31">
        <v>10000</v>
      </c>
      <c r="D52" s="31">
        <v>5000</v>
      </c>
      <c r="E52" s="4" t="s">
        <v>303</v>
      </c>
    </row>
    <row r="53" spans="1:5" ht="15" customHeight="1" x14ac:dyDescent="0.25">
      <c r="A53" s="22" t="s">
        <v>304</v>
      </c>
      <c r="B53" s="31">
        <v>80000</v>
      </c>
      <c r="C53" s="31">
        <v>80000</v>
      </c>
      <c r="D53" s="31">
        <v>130000</v>
      </c>
      <c r="E53" s="4" t="s">
        <v>305</v>
      </c>
    </row>
    <row r="54" spans="1:5" ht="15" customHeight="1" x14ac:dyDescent="0.25">
      <c r="A54" s="22" t="s">
        <v>306</v>
      </c>
      <c r="B54" s="31">
        <v>100000</v>
      </c>
      <c r="C54" s="31">
        <v>105000</v>
      </c>
      <c r="D54" s="31">
        <v>110000</v>
      </c>
      <c r="E54" s="4" t="s">
        <v>307</v>
      </c>
    </row>
    <row r="55" spans="1:5" ht="15" customHeight="1" x14ac:dyDescent="0.25">
      <c r="A55" s="22" t="s">
        <v>308</v>
      </c>
      <c r="B55" s="31">
        <v>38000</v>
      </c>
      <c r="C55" s="31">
        <v>42000</v>
      </c>
      <c r="D55" s="31">
        <v>48000</v>
      </c>
      <c r="E55" s="4" t="s">
        <v>309</v>
      </c>
    </row>
    <row r="56" spans="1:5" ht="31.5" customHeight="1" x14ac:dyDescent="0.25">
      <c r="A56" s="22" t="s">
        <v>310</v>
      </c>
      <c r="B56" s="31">
        <v>28000</v>
      </c>
      <c r="C56" s="31">
        <v>33000</v>
      </c>
      <c r="D56" s="31">
        <v>40000</v>
      </c>
      <c r="E56" s="4" t="s">
        <v>311</v>
      </c>
    </row>
    <row r="57" spans="1:5" ht="15" customHeight="1" x14ac:dyDescent="0.25">
      <c r="A57" s="22" t="s">
        <v>312</v>
      </c>
      <c r="B57" s="31">
        <v>38000</v>
      </c>
      <c r="C57" s="31">
        <v>38000</v>
      </c>
      <c r="D57" s="31">
        <v>38000</v>
      </c>
      <c r="E57" s="4" t="s">
        <v>313</v>
      </c>
    </row>
    <row r="58" spans="1:5" ht="15" customHeight="1" x14ac:dyDescent="0.25">
      <c r="A58" s="22" t="s">
        <v>314</v>
      </c>
      <c r="B58" s="31">
        <v>50000</v>
      </c>
      <c r="C58" s="31">
        <v>60000</v>
      </c>
      <c r="D58" s="31">
        <v>80000</v>
      </c>
      <c r="E58" s="4" t="s">
        <v>315</v>
      </c>
    </row>
    <row r="59" spans="1:5" ht="15" customHeight="1" x14ac:dyDescent="0.25">
      <c r="A59" s="22" t="s">
        <v>316</v>
      </c>
      <c r="B59" s="31">
        <v>55000</v>
      </c>
      <c r="C59" s="31">
        <v>60000</v>
      </c>
      <c r="D59" s="31">
        <v>65000</v>
      </c>
      <c r="E59" s="4" t="s">
        <v>317</v>
      </c>
    </row>
    <row r="60" spans="1:5" ht="15" customHeight="1" x14ac:dyDescent="0.25">
      <c r="A60" s="22" t="s">
        <v>318</v>
      </c>
      <c r="B60" s="31">
        <v>18000</v>
      </c>
      <c r="C60" s="31">
        <v>16500</v>
      </c>
      <c r="D60" s="31">
        <v>14000</v>
      </c>
      <c r="E60" s="4" t="s">
        <v>319</v>
      </c>
    </row>
  </sheetData>
  <mergeCells count="5">
    <mergeCell ref="A40:E40"/>
    <mergeCell ref="A41:E41"/>
    <mergeCell ref="A42:E42"/>
    <mergeCell ref="A43:E43"/>
    <mergeCell ref="A44:E4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5"/>
  <sheetViews>
    <sheetView topLeftCell="A25" zoomScaleNormal="100" workbookViewId="0"/>
  </sheetViews>
  <sheetFormatPr defaultColWidth="8.7109375" defaultRowHeight="15" x14ac:dyDescent="0.25"/>
  <cols>
    <col min="1" max="1" width="50" customWidth="1"/>
    <col min="2" max="4" width="16" customWidth="1"/>
    <col min="5" max="5" width="50" customWidth="1"/>
    <col min="6" max="8" width="16" customWidth="1"/>
  </cols>
  <sheetData>
    <row r="1" spans="1:8" ht="17.25" customHeight="1" x14ac:dyDescent="0.25">
      <c r="A1" s="3" t="s">
        <v>320</v>
      </c>
    </row>
    <row r="2" spans="1:8" ht="15" customHeight="1" x14ac:dyDescent="0.25">
      <c r="A2" s="4" t="s">
        <v>321</v>
      </c>
    </row>
    <row r="4" spans="1:8" ht="15" customHeight="1" x14ac:dyDescent="0.25">
      <c r="B4" s="25" t="s">
        <v>238</v>
      </c>
      <c r="C4" s="26" t="s">
        <v>239</v>
      </c>
      <c r="D4" s="27" t="s">
        <v>240</v>
      </c>
      <c r="E4" s="28" t="s">
        <v>322</v>
      </c>
      <c r="F4" s="25" t="s">
        <v>323</v>
      </c>
      <c r="G4" s="26" t="s">
        <v>324</v>
      </c>
      <c r="H4" s="27" t="s">
        <v>325</v>
      </c>
    </row>
    <row r="5" spans="1:8" ht="15" customHeight="1" x14ac:dyDescent="0.25">
      <c r="A5" s="11" t="s">
        <v>326</v>
      </c>
      <c r="B5" s="32">
        <v>60344</v>
      </c>
      <c r="C5" s="32">
        <v>60344</v>
      </c>
      <c r="D5" s="32">
        <v>60344</v>
      </c>
      <c r="F5" s="32">
        <v>0</v>
      </c>
      <c r="G5" s="32">
        <v>0</v>
      </c>
      <c r="H5" s="32">
        <v>0</v>
      </c>
    </row>
    <row r="7" spans="1:8" ht="15" customHeight="1" x14ac:dyDescent="0.25">
      <c r="A7" s="6" t="s">
        <v>327</v>
      </c>
    </row>
    <row r="8" spans="1:8" ht="15" customHeight="1" x14ac:dyDescent="0.25">
      <c r="A8" s="22" t="s">
        <v>328</v>
      </c>
      <c r="B8" s="20">
        <f>413878*(1+'Premissas Runway'!B6)*0.95</f>
        <v>363695.29249999998</v>
      </c>
      <c r="C8" s="20">
        <f>413878*(1+'Premissas Runway'!C6)*0.95</f>
        <v>334206.48499999999</v>
      </c>
      <c r="D8" s="20">
        <f>413878*(1+'Premissas Runway'!D6)*0.95</f>
        <v>294888.07500000001</v>
      </c>
      <c r="E8" s="4" t="s">
        <v>329</v>
      </c>
      <c r="F8" s="20">
        <f>B8*(1+'Premissas Runway'!B49)</f>
        <v>363695.29249999998</v>
      </c>
      <c r="G8" s="20">
        <f>C8*(1+'Premissas Runway'!C49)</f>
        <v>317496.16074999998</v>
      </c>
      <c r="H8" s="20">
        <f>D8*(1+'Premissas Runway'!D49)</f>
        <v>265399.26750000002</v>
      </c>
    </row>
    <row r="9" spans="1:8" ht="15" customHeight="1" x14ac:dyDescent="0.25">
      <c r="A9" s="22" t="s">
        <v>330</v>
      </c>
      <c r="B9" s="20">
        <f>'Premissas Runway'!B12*(1-'Premissas Runway'!B13-'Premissas Runway'!B14)*'Premissas Runway'!B16</f>
        <v>154000</v>
      </c>
      <c r="C9" s="20">
        <f>'Premissas Runway'!C12*(1-'Premissas Runway'!C13-'Premissas Runway'!C14)*'Premissas Runway'!C16</f>
        <v>154000</v>
      </c>
      <c r="D9" s="20">
        <f>'Premissas Runway'!D12*(1-'Premissas Runway'!D13-'Premissas Runway'!D14)*'Premissas Runway'!D16</f>
        <v>154000</v>
      </c>
      <c r="E9" s="4" t="s">
        <v>331</v>
      </c>
      <c r="F9" s="20">
        <f>'Premissas Runway'!B12*(1-'Premissas Runway'!B13-'Premissas Runway'!B14)*(1-'Premissas Runway'!B16)</f>
        <v>0</v>
      </c>
      <c r="G9" s="20">
        <f>'Premissas Runway'!C12*(1-'Premissas Runway'!C13-'Premissas Runway'!C14)*(1-'Premissas Runway'!C16)</f>
        <v>0</v>
      </c>
      <c r="H9" s="20">
        <f>'Premissas Runway'!D12*(1-'Premissas Runway'!D13-'Premissas Runway'!D14)*(1-'Premissas Runway'!D16)</f>
        <v>0</v>
      </c>
    </row>
    <row r="10" spans="1:8" ht="15" customHeight="1" x14ac:dyDescent="0.25">
      <c r="A10" s="22" t="s">
        <v>332</v>
      </c>
      <c r="B10" s="31">
        <v>25000</v>
      </c>
      <c r="C10" s="31">
        <v>25000</v>
      </c>
      <c r="D10" s="31">
        <v>25000</v>
      </c>
      <c r="E10" s="4" t="s">
        <v>333</v>
      </c>
      <c r="F10" s="20">
        <f>'Premissas Runway'!B51+'Premissas Runway'!B52</f>
        <v>125000</v>
      </c>
      <c r="G10" s="20">
        <f>'Premissas Runway'!C51+'Premissas Runway'!C52</f>
        <v>110000</v>
      </c>
      <c r="H10" s="20">
        <f>'Premissas Runway'!D51+'Premissas Runway'!D52</f>
        <v>95000</v>
      </c>
    </row>
    <row r="11" spans="1:8" ht="15" customHeight="1" x14ac:dyDescent="0.25">
      <c r="A11" s="11" t="s">
        <v>334</v>
      </c>
      <c r="B11" s="32">
        <f>SUM(B8:B10)</f>
        <v>542695.29249999998</v>
      </c>
      <c r="C11" s="32">
        <f>SUM(C8:C10)</f>
        <v>513206.48499999999</v>
      </c>
      <c r="D11" s="32">
        <f>SUM(D8:D10)</f>
        <v>473888.07500000001</v>
      </c>
      <c r="F11" s="32">
        <f>SUM(F8:F10)</f>
        <v>488695.29249999998</v>
      </c>
      <c r="G11" s="32">
        <f>SUM(G8:G10)</f>
        <v>427496.16074999998</v>
      </c>
      <c r="H11" s="32">
        <f>SUM(H8:H10)</f>
        <v>360399.26750000002</v>
      </c>
    </row>
    <row r="13" spans="1:8" ht="15" customHeight="1" x14ac:dyDescent="0.25">
      <c r="A13" s="6" t="s">
        <v>335</v>
      </c>
    </row>
    <row r="14" spans="1:8" ht="15" customHeight="1" x14ac:dyDescent="0.25">
      <c r="A14" s="22" t="s">
        <v>336</v>
      </c>
      <c r="B14" s="20">
        <f>-315000*(1+'Premissas Runway'!B9)</f>
        <v>-252000</v>
      </c>
      <c r="C14" s="20">
        <f>-315000*(1+'Premissas Runway'!C9)</f>
        <v>-277200</v>
      </c>
      <c r="D14" s="20">
        <f>-315000*(1+'Premissas Runway'!D9)</f>
        <v>-277200</v>
      </c>
      <c r="E14" s="4" t="s">
        <v>337</v>
      </c>
      <c r="F14" s="20">
        <f>B14*(1+'Premissas Runway'!B50)</f>
        <v>-252000</v>
      </c>
      <c r="G14" s="20">
        <f>C14*(1+'Premissas Runway'!C50)</f>
        <v>-291060</v>
      </c>
      <c r="H14" s="20">
        <f>D14*(1+'Premissas Runway'!D50)</f>
        <v>-304920</v>
      </c>
    </row>
    <row r="15" spans="1:8" ht="15" customHeight="1" x14ac:dyDescent="0.25">
      <c r="A15" s="22" t="s">
        <v>338</v>
      </c>
      <c r="B15" s="20">
        <f>-'Premissas Runway'!B23</f>
        <v>-95000</v>
      </c>
      <c r="C15" s="20">
        <f>-'Premissas Runway'!C23</f>
        <v>-100000</v>
      </c>
      <c r="D15" s="20">
        <f>-'Premissas Runway'!D23</f>
        <v>-105000</v>
      </c>
      <c r="E15" s="4" t="s">
        <v>339</v>
      </c>
      <c r="F15" s="20">
        <f>-'Premissas Runway'!B54</f>
        <v>-100000</v>
      </c>
      <c r="G15" s="20">
        <f>-'Premissas Runway'!C54</f>
        <v>-105000</v>
      </c>
      <c r="H15" s="20">
        <f>-'Premissas Runway'!D54</f>
        <v>-110000</v>
      </c>
    </row>
    <row r="16" spans="1:8" ht="15" customHeight="1" x14ac:dyDescent="0.25">
      <c r="A16" s="22" t="s">
        <v>340</v>
      </c>
      <c r="B16" s="20">
        <f>-'Premissas Runway'!B24</f>
        <v>-35000</v>
      </c>
      <c r="C16" s="20">
        <f>-'Premissas Runway'!C24</f>
        <v>-40000</v>
      </c>
      <c r="D16" s="20">
        <f>-'Premissas Runway'!D24</f>
        <v>-45000</v>
      </c>
      <c r="E16" s="4" t="s">
        <v>339</v>
      </c>
      <c r="F16" s="20">
        <f>-'Premissas Runway'!B55</f>
        <v>-38000</v>
      </c>
      <c r="G16" s="20">
        <f>-'Premissas Runway'!C55</f>
        <v>-42000</v>
      </c>
      <c r="H16" s="20">
        <f>-'Premissas Runway'!D55</f>
        <v>-48000</v>
      </c>
    </row>
    <row r="17" spans="1:8" ht="31.5" customHeight="1" x14ac:dyDescent="0.25">
      <c r="A17" s="22" t="s">
        <v>341</v>
      </c>
      <c r="B17" s="20">
        <f>-'Premissas Runway'!B19*'Premissas Runway'!B20</f>
        <v>-32000</v>
      </c>
      <c r="C17" s="20">
        <f>-'Premissas Runway'!C19*'Premissas Runway'!C20</f>
        <v>-32000</v>
      </c>
      <c r="D17" s="20">
        <f>-'Premissas Runway'!D19*'Premissas Runway'!D20</f>
        <v>-52000</v>
      </c>
      <c r="E17" s="30" t="s">
        <v>342</v>
      </c>
      <c r="F17" s="20">
        <f>-'Premissas Runway'!B53*0.4</f>
        <v>-32000</v>
      </c>
      <c r="G17" s="20">
        <f>-'Premissas Runway'!C53*0.4</f>
        <v>-32000</v>
      </c>
      <c r="H17" s="20">
        <f>-'Premissas Runway'!D53*0.4</f>
        <v>-52000</v>
      </c>
    </row>
    <row r="18" spans="1:8" ht="15" customHeight="1" x14ac:dyDescent="0.25">
      <c r="A18" s="22" t="s">
        <v>343</v>
      </c>
      <c r="B18" s="20">
        <f>-'Premissas Runway'!B32</f>
        <v>-25000</v>
      </c>
      <c r="C18" s="20">
        <f>-'Premissas Runway'!C32</f>
        <v>-31000</v>
      </c>
      <c r="D18" s="20">
        <f>-'Premissas Runway'!D32</f>
        <v>-39000</v>
      </c>
      <c r="E18" s="4" t="s">
        <v>344</v>
      </c>
      <c r="F18" s="20">
        <f>-'Premissas Runway'!B56</f>
        <v>-28000</v>
      </c>
      <c r="G18" s="20">
        <f>-'Premissas Runway'!C56</f>
        <v>-33000</v>
      </c>
      <c r="H18" s="20">
        <f>-'Premissas Runway'!D56</f>
        <v>-40000</v>
      </c>
    </row>
    <row r="19" spans="1:8" ht="15" customHeight="1" x14ac:dyDescent="0.25">
      <c r="A19" s="22" t="s">
        <v>345</v>
      </c>
      <c r="B19" s="20">
        <f>-'Premissas Runway'!B35</f>
        <v>-38000</v>
      </c>
      <c r="C19" s="20">
        <f>-'Premissas Runway'!C35</f>
        <v>-38000</v>
      </c>
      <c r="D19" s="20">
        <f>-'Premissas Runway'!D35</f>
        <v>-38000</v>
      </c>
      <c r="E19" s="4" t="s">
        <v>346</v>
      </c>
      <c r="F19" s="20">
        <f>-'Premissas Runway'!B57</f>
        <v>-38000</v>
      </c>
      <c r="G19" s="20">
        <f>-'Premissas Runway'!C57</f>
        <v>-38000</v>
      </c>
      <c r="H19" s="20">
        <f>-'Premissas Runway'!D57</f>
        <v>-38000</v>
      </c>
    </row>
    <row r="20" spans="1:8" ht="15" customHeight="1" x14ac:dyDescent="0.25">
      <c r="A20" s="22" t="s">
        <v>347</v>
      </c>
      <c r="B20" s="20">
        <f>-'Premissas Runway'!B36</f>
        <v>-80000</v>
      </c>
      <c r="C20" s="20">
        <f>-'Premissas Runway'!C36</f>
        <v>-95000</v>
      </c>
      <c r="D20" s="20">
        <f>-'Premissas Runway'!D36</f>
        <v>-110000</v>
      </c>
      <c r="E20" s="4" t="s">
        <v>348</v>
      </c>
      <c r="F20" s="20">
        <f>-'Premissas Runway'!B58</f>
        <v>-50000</v>
      </c>
      <c r="G20" s="20">
        <f>-'Premissas Runway'!C58</f>
        <v>-60000</v>
      </c>
      <c r="H20" s="20">
        <f>-'Premissas Runway'!D58</f>
        <v>-80000</v>
      </c>
    </row>
    <row r="21" spans="1:8" ht="15" customHeight="1" x14ac:dyDescent="0.25">
      <c r="A21" s="22" t="s">
        <v>349</v>
      </c>
      <c r="B21" s="20">
        <f>-'Premissas Runway'!B37</f>
        <v>-25000</v>
      </c>
      <c r="C21" s="20">
        <f>-'Premissas Runway'!C37</f>
        <v>-30000</v>
      </c>
      <c r="D21" s="20">
        <f>-'Premissas Runway'!D37</f>
        <v>-35000</v>
      </c>
      <c r="E21" s="4" t="s">
        <v>350</v>
      </c>
      <c r="F21" s="20">
        <f>-'Premissas Runway'!B59</f>
        <v>-55000</v>
      </c>
      <c r="G21" s="20">
        <f>-'Premissas Runway'!C59</f>
        <v>-60000</v>
      </c>
      <c r="H21" s="20">
        <f>-'Premissas Runway'!D59</f>
        <v>-65000</v>
      </c>
    </row>
    <row r="22" spans="1:8" ht="15" customHeight="1" x14ac:dyDescent="0.25">
      <c r="A22" s="22" t="s">
        <v>351</v>
      </c>
      <c r="B22" s="20">
        <f>-'Premissas Runway'!B38</f>
        <v>-18500</v>
      </c>
      <c r="C22" s="20">
        <f>-'Premissas Runway'!C38</f>
        <v>-17000</v>
      </c>
      <c r="D22" s="20">
        <f>-'Premissas Runway'!D38</f>
        <v>-15000</v>
      </c>
      <c r="E22" s="4" t="s">
        <v>352</v>
      </c>
      <c r="F22" s="20">
        <f>-'Premissas Runway'!B60</f>
        <v>-18000</v>
      </c>
      <c r="G22" s="20">
        <f>-'Premissas Runway'!C60</f>
        <v>-16500</v>
      </c>
      <c r="H22" s="20">
        <f>-'Premissas Runway'!D60</f>
        <v>-14000</v>
      </c>
    </row>
    <row r="23" spans="1:8" ht="15" customHeight="1" x14ac:dyDescent="0.25">
      <c r="A23" s="11" t="s">
        <v>353</v>
      </c>
      <c r="B23" s="32">
        <f>SUM(B14:B22)</f>
        <v>-600500</v>
      </c>
      <c r="C23" s="32">
        <f>SUM(C14:C22)</f>
        <v>-660200</v>
      </c>
      <c r="D23" s="32">
        <f>SUM(D14:D22)</f>
        <v>-716200</v>
      </c>
      <c r="F23" s="32">
        <f>SUM(F14:F22)</f>
        <v>-611000</v>
      </c>
      <c r="G23" s="32">
        <f>SUM(G14:G22)</f>
        <v>-677560</v>
      </c>
      <c r="H23" s="32">
        <f>SUM(H14:H22)</f>
        <v>-751920</v>
      </c>
    </row>
    <row r="25" spans="1:8" ht="15" customHeight="1" x14ac:dyDescent="0.25">
      <c r="A25" s="6" t="s">
        <v>354</v>
      </c>
    </row>
    <row r="26" spans="1:8" ht="15" customHeight="1" x14ac:dyDescent="0.25">
      <c r="A26" s="11" t="s">
        <v>355</v>
      </c>
      <c r="B26" s="32">
        <f>B11+B23</f>
        <v>-57804.707500000019</v>
      </c>
      <c r="C26" s="32">
        <f>C11+C23</f>
        <v>-146993.51500000001</v>
      </c>
      <c r="D26" s="32">
        <f>D11+D23</f>
        <v>-242311.92499999999</v>
      </c>
      <c r="F26" s="32">
        <f>F11+F23</f>
        <v>-122304.70750000002</v>
      </c>
      <c r="G26" s="32">
        <f>G11+G23</f>
        <v>-250063.83925000002</v>
      </c>
      <c r="H26" s="32">
        <f>H11+H23</f>
        <v>-391520.73249999998</v>
      </c>
    </row>
    <row r="27" spans="1:8" ht="15" customHeight="1" x14ac:dyDescent="0.25">
      <c r="A27" s="11" t="s">
        <v>356</v>
      </c>
      <c r="B27" s="32">
        <f>B5+B26</f>
        <v>2539.2924999999814</v>
      </c>
      <c r="C27" s="32">
        <f>C5+C26</f>
        <v>-86649.515000000014</v>
      </c>
      <c r="D27" s="32">
        <f>D5+D26</f>
        <v>-181967.92499999999</v>
      </c>
      <c r="F27" s="32">
        <f>F5+F26</f>
        <v>-122304.70750000002</v>
      </c>
      <c r="G27" s="32">
        <f>G5+G26</f>
        <v>-250063.83925000002</v>
      </c>
      <c r="H27" s="32">
        <f>H5+H26</f>
        <v>-391520.73249999998</v>
      </c>
    </row>
    <row r="29" spans="1:8" ht="15" customHeight="1" x14ac:dyDescent="0.25">
      <c r="A29" s="6" t="s">
        <v>357</v>
      </c>
    </row>
    <row r="30" spans="1:8" ht="15" customHeight="1" x14ac:dyDescent="0.25">
      <c r="A30" s="22" t="s">
        <v>358</v>
      </c>
      <c r="B30" s="20">
        <f>IF(B26&lt;0,-B26/12,0)</f>
        <v>4817.0589583333349</v>
      </c>
      <c r="C30" s="20">
        <f>IF(C26&lt;0,-C26/12,0)</f>
        <v>12249.459583333335</v>
      </c>
      <c r="D30" s="20">
        <f>IF(D26&lt;0,-D26/12,0)</f>
        <v>20192.660416666666</v>
      </c>
      <c r="E30" s="4" t="s">
        <v>359</v>
      </c>
      <c r="F30" s="20">
        <f>IF(F26&lt;0,-F26/12,0)</f>
        <v>10192.058958333335</v>
      </c>
      <c r="G30" s="20">
        <f>IF(G26&lt;0,-G26/12,0)</f>
        <v>20838.653270833336</v>
      </c>
      <c r="H30" s="20">
        <f>IF(H26&lt;0,-H26/12,0)</f>
        <v>32626.727708333332</v>
      </c>
    </row>
    <row r="31" spans="1:8" ht="15" customHeight="1" x14ac:dyDescent="0.25">
      <c r="A31" s="33" t="s">
        <v>360</v>
      </c>
      <c r="B31" s="34">
        <f>IF(B30&gt;0,B5/B30,"sustentável")</f>
        <v>12.527145821125378</v>
      </c>
      <c r="C31" s="34">
        <f>IF(C30&gt;0,C5/C30,"sustentável")</f>
        <v>4.9262581413880735</v>
      </c>
      <c r="D31" s="34">
        <f>IF(D30&gt;0,D5/D30,"sustentável")</f>
        <v>2.98841255955521</v>
      </c>
      <c r="E31" s="4" t="s">
        <v>361</v>
      </c>
      <c r="F31" s="34">
        <f>IF(F30&gt;0,F5/F30,"sustentável")</f>
        <v>0</v>
      </c>
      <c r="G31" s="34">
        <f>IF(G30&gt;0,G5/G30,"sustentável")</f>
        <v>0</v>
      </c>
      <c r="H31" s="34">
        <f>IF(H30&gt;0,H5/H30,"sustentável")</f>
        <v>0</v>
      </c>
    </row>
    <row r="32" spans="1:8" ht="15" customHeight="1" x14ac:dyDescent="0.25">
      <c r="A32" s="33" t="s">
        <v>362</v>
      </c>
      <c r="B32" s="35">
        <f>IF(B27&lt;0,-B27,0)</f>
        <v>0</v>
      </c>
      <c r="C32" s="35">
        <f>IF(C27&lt;0,-C27,0)</f>
        <v>86649.515000000014</v>
      </c>
      <c r="D32" s="35">
        <f>IF(D27&lt;0,-D27,0)</f>
        <v>181967.92499999999</v>
      </c>
      <c r="E32" s="4" t="s">
        <v>363</v>
      </c>
      <c r="F32" s="35">
        <f>IF(F27&lt;0,-F27,0)</f>
        <v>122304.70750000002</v>
      </c>
      <c r="G32" s="35">
        <f>IF(G27&lt;0,-G27,0)</f>
        <v>250063.83925000002</v>
      </c>
      <c r="H32" s="35">
        <f>IF(H27&lt;0,-H27,0)</f>
        <v>391520.73249999998</v>
      </c>
    </row>
    <row r="34" spans="1:5" ht="15" customHeight="1" x14ac:dyDescent="0.25">
      <c r="A34" s="6" t="s">
        <v>364</v>
      </c>
    </row>
    <row r="35" spans="1:5" ht="129.75" customHeight="1" x14ac:dyDescent="0.25">
      <c r="A35" s="1" t="s">
        <v>365</v>
      </c>
      <c r="B35" s="1"/>
      <c r="C35" s="1"/>
      <c r="D35" s="1"/>
      <c r="E35" s="1"/>
    </row>
  </sheetData>
  <mergeCells count="1">
    <mergeCell ref="A35:E3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topLeftCell="A10" zoomScaleNormal="100" workbookViewId="0">
      <selection activeCell="A18" sqref="A18:XFD18"/>
    </sheetView>
  </sheetViews>
  <sheetFormatPr defaultColWidth="8.7109375" defaultRowHeight="15" x14ac:dyDescent="0.25"/>
  <cols>
    <col min="1" max="1" width="50" customWidth="1"/>
    <col min="2" max="4" width="18" customWidth="1"/>
  </cols>
  <sheetData>
    <row r="1" spans="1:4" ht="17.25" customHeight="1" x14ac:dyDescent="0.25">
      <c r="A1" s="3" t="s">
        <v>366</v>
      </c>
    </row>
    <row r="2" spans="1:4" ht="15" customHeight="1" x14ac:dyDescent="0.25">
      <c r="A2" s="4" t="s">
        <v>367</v>
      </c>
    </row>
    <row r="4" spans="1:4" ht="15" customHeight="1" x14ac:dyDescent="0.25">
      <c r="B4" s="25" t="s">
        <v>238</v>
      </c>
      <c r="C4" s="26" t="s">
        <v>239</v>
      </c>
      <c r="D4" s="27" t="s">
        <v>240</v>
      </c>
    </row>
    <row r="5" spans="1:4" ht="15" customHeight="1" x14ac:dyDescent="0.25">
      <c r="A5" s="6" t="s">
        <v>368</v>
      </c>
    </row>
    <row r="6" spans="1:4" ht="15" customHeight="1" x14ac:dyDescent="0.25">
      <c r="A6" s="22" t="s">
        <v>369</v>
      </c>
      <c r="B6" s="10">
        <f>'Premissas Runway'!B6</f>
        <v>-7.4999999999999997E-2</v>
      </c>
      <c r="C6" s="10">
        <f>'Premissas Runway'!C6</f>
        <v>-0.15</v>
      </c>
      <c r="D6" s="10">
        <f>'Premissas Runway'!D6</f>
        <v>-0.25</v>
      </c>
    </row>
    <row r="7" spans="1:4" ht="15" customHeight="1" x14ac:dyDescent="0.25">
      <c r="A7" s="22" t="s">
        <v>370</v>
      </c>
      <c r="B7" s="10">
        <f>'Premissas Runway'!B9</f>
        <v>-0.2</v>
      </c>
      <c r="C7" s="10">
        <f>'Premissas Runway'!C9</f>
        <v>-0.12</v>
      </c>
      <c r="D7" s="10">
        <f>'Premissas Runway'!D9</f>
        <v>-0.12</v>
      </c>
    </row>
    <row r="8" spans="1:4" ht="15" customHeight="1" x14ac:dyDescent="0.25">
      <c r="A8" s="22" t="s">
        <v>371</v>
      </c>
      <c r="B8" s="20">
        <f>'Premissas Runway'!B19</f>
        <v>80000</v>
      </c>
      <c r="C8" s="20">
        <f>'Premissas Runway'!C19</f>
        <v>80000</v>
      </c>
      <c r="D8" s="20">
        <f>'Premissas Runway'!D19</f>
        <v>130000</v>
      </c>
    </row>
    <row r="9" spans="1:4" ht="15" customHeight="1" x14ac:dyDescent="0.25">
      <c r="A9" s="22" t="s">
        <v>372</v>
      </c>
      <c r="B9" s="10">
        <f>'Premissas Runway'!B16</f>
        <v>1</v>
      </c>
      <c r="C9" s="10">
        <f>'Premissas Runway'!C16</f>
        <v>1</v>
      </c>
      <c r="D9" s="10">
        <f>'Premissas Runway'!D16</f>
        <v>1</v>
      </c>
    </row>
    <row r="11" spans="1:4" ht="15" customHeight="1" x14ac:dyDescent="0.25">
      <c r="A11" s="6" t="s">
        <v>373</v>
      </c>
    </row>
    <row r="12" spans="1:4" ht="15" customHeight="1" x14ac:dyDescent="0.25">
      <c r="A12" s="22" t="s">
        <v>374</v>
      </c>
      <c r="B12" s="20">
        <f>'Modelo Runway'!B11</f>
        <v>542695.29249999998</v>
      </c>
      <c r="C12" s="20">
        <f>'Modelo Runway'!C11</f>
        <v>513206.48499999999</v>
      </c>
      <c r="D12" s="20">
        <f>'Modelo Runway'!D11</f>
        <v>473888.07500000001</v>
      </c>
    </row>
    <row r="13" spans="1:4" ht="15" customHeight="1" x14ac:dyDescent="0.25">
      <c r="A13" s="22" t="s">
        <v>375</v>
      </c>
      <c r="B13" s="20">
        <f>'Modelo Runway'!B23</f>
        <v>-600500</v>
      </c>
      <c r="C13" s="20">
        <f>'Modelo Runway'!C23</f>
        <v>-660200</v>
      </c>
      <c r="D13" s="20">
        <f>'Modelo Runway'!D23</f>
        <v>-716200</v>
      </c>
    </row>
    <row r="14" spans="1:4" ht="15" customHeight="1" x14ac:dyDescent="0.25">
      <c r="A14" s="11" t="s">
        <v>376</v>
      </c>
      <c r="B14" s="32">
        <f>'Modelo Runway'!B26</f>
        <v>-57804.707500000019</v>
      </c>
      <c r="C14" s="32">
        <f>'Modelo Runway'!C26</f>
        <v>-146993.51500000001</v>
      </c>
      <c r="D14" s="32">
        <f>'Modelo Runway'!D26</f>
        <v>-242311.92499999999</v>
      </c>
    </row>
    <row r="15" spans="1:4" ht="15" customHeight="1" x14ac:dyDescent="0.25">
      <c r="A15" s="11" t="s">
        <v>377</v>
      </c>
      <c r="B15" s="32">
        <f>'Modelo Runway'!B27</f>
        <v>2539.2924999999814</v>
      </c>
      <c r="C15" s="32">
        <f>'Modelo Runway'!C27</f>
        <v>-86649.515000000014</v>
      </c>
      <c r="D15" s="32">
        <f>'Modelo Runway'!D27</f>
        <v>-181967.92499999999</v>
      </c>
    </row>
    <row r="16" spans="1:4" ht="15" customHeight="1" x14ac:dyDescent="0.25">
      <c r="A16" s="11" t="s">
        <v>378</v>
      </c>
      <c r="B16" s="32">
        <f>'Modelo Runway'!B32</f>
        <v>0</v>
      </c>
      <c r="C16" s="32">
        <f>'Modelo Runway'!C32</f>
        <v>86649.515000000014</v>
      </c>
      <c r="D16" s="32">
        <f>'Modelo Runway'!D32</f>
        <v>181967.92499999999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0"/>
  <sheetViews>
    <sheetView tabSelected="1" zoomScaleNormal="100" workbookViewId="0">
      <selection activeCell="B19" sqref="B19:H20"/>
    </sheetView>
  </sheetViews>
  <sheetFormatPr defaultColWidth="8.7109375" defaultRowHeight="15" x14ac:dyDescent="0.25"/>
  <cols>
    <col min="1" max="1" width="50" customWidth="1"/>
    <col min="2" max="2" width="15" bestFit="1" customWidth="1"/>
    <col min="3" max="3" width="14.28515625" bestFit="1" customWidth="1"/>
    <col min="4" max="4" width="15.5703125" bestFit="1" customWidth="1"/>
    <col min="5" max="8" width="16.5703125" bestFit="1" customWidth="1"/>
    <col min="9" max="9" width="50" customWidth="1"/>
  </cols>
  <sheetData>
    <row r="1" spans="1:9" ht="17.25" customHeight="1" x14ac:dyDescent="0.25">
      <c r="A1" s="3" t="s">
        <v>379</v>
      </c>
    </row>
    <row r="2" spans="1:9" ht="15" customHeight="1" x14ac:dyDescent="0.25">
      <c r="A2" s="4" t="s">
        <v>380</v>
      </c>
    </row>
    <row r="4" spans="1:9" ht="15" customHeight="1" x14ac:dyDescent="0.25">
      <c r="B4" s="28" t="s">
        <v>5</v>
      </c>
      <c r="C4" s="25" t="s">
        <v>381</v>
      </c>
      <c r="D4" s="26" t="s">
        <v>382</v>
      </c>
      <c r="E4" s="27" t="s">
        <v>383</v>
      </c>
      <c r="F4" s="25" t="s">
        <v>323</v>
      </c>
      <c r="G4" s="26" t="s">
        <v>324</v>
      </c>
      <c r="H4" s="27" t="s">
        <v>325</v>
      </c>
      <c r="I4" s="28" t="s">
        <v>384</v>
      </c>
    </row>
    <row r="5" spans="1:9" ht="15" customHeight="1" x14ac:dyDescent="0.25">
      <c r="A5" s="6" t="s">
        <v>385</v>
      </c>
    </row>
    <row r="6" spans="1:9" ht="15" customHeight="1" x14ac:dyDescent="0.25">
      <c r="A6" s="22" t="s">
        <v>386</v>
      </c>
      <c r="B6" s="9">
        <v>413878</v>
      </c>
      <c r="C6" s="20">
        <f>'Modelo Runway'!B8</f>
        <v>363695.29249999998</v>
      </c>
      <c r="D6" s="20">
        <f>'Modelo Runway'!C8</f>
        <v>334206.48499999999</v>
      </c>
      <c r="E6" s="20">
        <f>'Modelo Runway'!D8</f>
        <v>294888.07500000001</v>
      </c>
      <c r="F6" s="20">
        <f>'Modelo Runway'!F8</f>
        <v>363695.29249999998</v>
      </c>
      <c r="G6" s="20">
        <f>'Modelo Runway'!G8</f>
        <v>317496.16074999998</v>
      </c>
      <c r="H6" s="20">
        <f>'Modelo Runway'!H8</f>
        <v>265399.26750000002</v>
      </c>
    </row>
    <row r="8" spans="1:9" ht="15" customHeight="1" x14ac:dyDescent="0.25">
      <c r="A8" s="6" t="s">
        <v>387</v>
      </c>
    </row>
    <row r="9" spans="1:9" ht="15" customHeight="1" x14ac:dyDescent="0.25">
      <c r="A9" s="22" t="s">
        <v>388</v>
      </c>
      <c r="B9" s="9">
        <v>315000</v>
      </c>
      <c r="C9" s="20">
        <f>-'Modelo Runway'!B14</f>
        <v>252000</v>
      </c>
      <c r="D9" s="20">
        <f>-'Modelo Runway'!C14</f>
        <v>277200</v>
      </c>
      <c r="E9" s="20">
        <f>-'Modelo Runway'!D14</f>
        <v>277200</v>
      </c>
      <c r="F9" s="20">
        <f>-'Modelo Runway'!F14</f>
        <v>252000</v>
      </c>
      <c r="G9" s="20">
        <f>-'Modelo Runway'!G14</f>
        <v>291060</v>
      </c>
      <c r="H9" s="20">
        <f>-'Modelo Runway'!H14</f>
        <v>304920</v>
      </c>
    </row>
    <row r="10" spans="1:9" ht="15" customHeight="1" x14ac:dyDescent="0.25">
      <c r="A10" s="22" t="s">
        <v>389</v>
      </c>
      <c r="B10" s="10">
        <f t="shared" ref="B10:H10" si="0">B9/B6</f>
        <v>0.76109384891199827</v>
      </c>
      <c r="C10" s="10">
        <f t="shared" si="0"/>
        <v>0.69288771451447917</v>
      </c>
      <c r="D10" s="10">
        <f t="shared" si="0"/>
        <v>0.82942735237468546</v>
      </c>
      <c r="E10" s="10">
        <f t="shared" si="0"/>
        <v>0.94001766602464343</v>
      </c>
      <c r="F10" s="10">
        <f t="shared" si="0"/>
        <v>0.69288771451447917</v>
      </c>
      <c r="G10" s="10">
        <f t="shared" si="0"/>
        <v>0.91673549472991545</v>
      </c>
      <c r="H10" s="10">
        <f t="shared" si="0"/>
        <v>1.1489104806967863</v>
      </c>
      <c r="I10" s="36" t="s">
        <v>390</v>
      </c>
    </row>
    <row r="11" spans="1:9" ht="15" customHeight="1" x14ac:dyDescent="0.25">
      <c r="A11" s="33" t="s">
        <v>391</v>
      </c>
      <c r="B11" s="37" t="str">
        <f t="shared" ref="B11:H11" si="1">IF(B10&lt;=0.65,"✓","✗")</f>
        <v>✗</v>
      </c>
      <c r="C11" s="37" t="str">
        <f t="shared" si="1"/>
        <v>✗</v>
      </c>
      <c r="D11" s="37" t="str">
        <f t="shared" si="1"/>
        <v>✗</v>
      </c>
      <c r="E11" s="37" t="str">
        <f t="shared" si="1"/>
        <v>✗</v>
      </c>
      <c r="F11" s="37" t="str">
        <f t="shared" si="1"/>
        <v>✗</v>
      </c>
      <c r="G11" s="37" t="str">
        <f t="shared" si="1"/>
        <v>✗</v>
      </c>
      <c r="H11" s="37" t="str">
        <f t="shared" si="1"/>
        <v>✗</v>
      </c>
    </row>
    <row r="13" spans="1:9" ht="15" customHeight="1" x14ac:dyDescent="0.25">
      <c r="A13" s="6" t="s">
        <v>392</v>
      </c>
    </row>
    <row r="14" spans="1:9" ht="15" customHeight="1" x14ac:dyDescent="0.25">
      <c r="A14" s="22" t="s">
        <v>393</v>
      </c>
      <c r="B14" s="20">
        <f>'Operacional Puro'!D19</f>
        <v>-150304</v>
      </c>
      <c r="C14" s="20">
        <f>'Modelo Runway'!B8+'Modelo Runway'!B14+'Modelo Runway'!B15+'Modelo Runway'!B16</f>
        <v>-18304.707500000019</v>
      </c>
      <c r="D14" s="20">
        <f>'Modelo Runway'!C8+'Modelo Runway'!C14+'Modelo Runway'!C15+'Modelo Runway'!C16</f>
        <v>-82993.515000000014</v>
      </c>
      <c r="E14" s="20">
        <f>'Modelo Runway'!D8+'Modelo Runway'!D14+'Modelo Runway'!D15+'Modelo Runway'!D16</f>
        <v>-132311.92499999999</v>
      </c>
      <c r="F14" s="20">
        <f>'Modelo Runway'!F8+'Modelo Runway'!F14+'Modelo Runway'!F15+'Modelo Runway'!F16</f>
        <v>-26304.707500000019</v>
      </c>
      <c r="G14" s="20">
        <f>'Modelo Runway'!G8+'Modelo Runway'!G14+'Modelo Runway'!G15+'Modelo Runway'!G16</f>
        <v>-120563.83925000002</v>
      </c>
      <c r="H14" s="20">
        <f>'Modelo Runway'!H8+'Modelo Runway'!H14+'Modelo Runway'!H15+'Modelo Runway'!H16</f>
        <v>-197520.73249999998</v>
      </c>
    </row>
    <row r="15" spans="1:9" ht="15" customHeight="1" x14ac:dyDescent="0.25">
      <c r="A15" s="22" t="s">
        <v>394</v>
      </c>
      <c r="B15" s="10">
        <f t="shared" ref="B15:H15" si="2">B14/B6</f>
        <v>-0.36316015830752058</v>
      </c>
      <c r="C15" s="10">
        <f t="shared" si="2"/>
        <v>-5.0329789462424841E-2</v>
      </c>
      <c r="D15" s="10">
        <f t="shared" si="2"/>
        <v>-0.2483300555942235</v>
      </c>
      <c r="E15" s="10">
        <f t="shared" si="2"/>
        <v>-0.44868523421979672</v>
      </c>
      <c r="F15" s="10">
        <f t="shared" si="2"/>
        <v>-7.2326224843836884E-2</v>
      </c>
      <c r="G15" s="10">
        <f t="shared" si="2"/>
        <v>-0.37973321934098386</v>
      </c>
      <c r="H15" s="10">
        <f t="shared" si="2"/>
        <v>-0.74423993088074358</v>
      </c>
      <c r="I15" s="36" t="s">
        <v>395</v>
      </c>
    </row>
    <row r="16" spans="1:9" ht="15" customHeight="1" x14ac:dyDescent="0.25">
      <c r="A16" s="33" t="s">
        <v>391</v>
      </c>
      <c r="B16" s="37" t="str">
        <f t="shared" ref="B16:H16" si="3">IF(B15&gt;=0.05,"✓","✗")</f>
        <v>✗</v>
      </c>
      <c r="C16" s="37" t="str">
        <f t="shared" si="3"/>
        <v>✗</v>
      </c>
      <c r="D16" s="37" t="str">
        <f t="shared" si="3"/>
        <v>✗</v>
      </c>
      <c r="E16" s="37" t="str">
        <f t="shared" si="3"/>
        <v>✗</v>
      </c>
      <c r="F16" s="37" t="str">
        <f t="shared" si="3"/>
        <v>✗</v>
      </c>
      <c r="G16" s="37" t="str">
        <f t="shared" si="3"/>
        <v>✗</v>
      </c>
      <c r="H16" s="37" t="str">
        <f t="shared" si="3"/>
        <v>✗</v>
      </c>
    </row>
    <row r="17" spans="1:9" ht="15" customHeight="1" x14ac:dyDescent="0.25">
      <c r="C17" s="38">
        <f>'Premissas Runway'!B19</f>
        <v>80000</v>
      </c>
      <c r="D17" s="38">
        <f>'Premissas Runway'!C19</f>
        <v>80000</v>
      </c>
      <c r="E17" s="38">
        <f>'Premissas Runway'!D19</f>
        <v>130000</v>
      </c>
    </row>
    <row r="18" spans="1:9" ht="15" customHeight="1" x14ac:dyDescent="0.25">
      <c r="A18" s="6" t="s">
        <v>396</v>
      </c>
    </row>
    <row r="19" spans="1:9" ht="15" customHeight="1" x14ac:dyDescent="0.25">
      <c r="A19" s="22" t="s">
        <v>397</v>
      </c>
      <c r="B19" s="41">
        <v>162595</v>
      </c>
      <c r="C19" s="41">
        <f>'Premissas Runway'!B19</f>
        <v>80000</v>
      </c>
      <c r="D19" s="41">
        <f>'Premissas Runway'!C19</f>
        <v>80000</v>
      </c>
      <c r="E19" s="41">
        <f>'Premissas Runway'!D19</f>
        <v>130000</v>
      </c>
      <c r="F19" s="41">
        <f>'Premissas Runway'!B53</f>
        <v>80000</v>
      </c>
      <c r="G19" s="41">
        <f>'Premissas Runway'!C53</f>
        <v>80000</v>
      </c>
      <c r="H19" s="41">
        <f>'Premissas Runway'!D53</f>
        <v>130000</v>
      </c>
    </row>
    <row r="20" spans="1:9" ht="15" customHeight="1" x14ac:dyDescent="0.25">
      <c r="A20" s="22" t="s">
        <v>398</v>
      </c>
      <c r="B20" s="41">
        <v>96755</v>
      </c>
      <c r="C20" s="41">
        <f>'Modelo Runway'!B9+'Modelo Runway'!B10</f>
        <v>179000</v>
      </c>
      <c r="D20" s="41">
        <f>'Modelo Runway'!C9+'Modelo Runway'!C10</f>
        <v>179000</v>
      </c>
      <c r="E20" s="41">
        <f>'Modelo Runway'!D9+'Modelo Runway'!D10</f>
        <v>179000</v>
      </c>
      <c r="F20" s="41">
        <f>'Modelo Runway'!F9+'Modelo Runway'!F10</f>
        <v>125000</v>
      </c>
      <c r="G20" s="41">
        <f>'Modelo Runway'!G9+'Modelo Runway'!G10</f>
        <v>110000</v>
      </c>
      <c r="H20" s="41">
        <f>'Modelo Runway'!H9+'Modelo Runway'!H10</f>
        <v>95000</v>
      </c>
    </row>
    <row r="21" spans="1:9" ht="15" customHeight="1" x14ac:dyDescent="0.25">
      <c r="A21" s="22" t="s">
        <v>399</v>
      </c>
      <c r="B21" s="15">
        <f t="shared" ref="B21:H21" si="4">B19/B20</f>
        <v>1.6804816288563897</v>
      </c>
      <c r="C21" s="15">
        <f t="shared" si="4"/>
        <v>0.44692737430167595</v>
      </c>
      <c r="D21" s="15">
        <f t="shared" si="4"/>
        <v>0.44692737430167595</v>
      </c>
      <c r="E21" s="15">
        <f t="shared" si="4"/>
        <v>0.72625698324022347</v>
      </c>
      <c r="F21" s="15">
        <f t="shared" si="4"/>
        <v>0.64</v>
      </c>
      <c r="G21" s="15">
        <f t="shared" si="4"/>
        <v>0.72727272727272729</v>
      </c>
      <c r="H21" s="15">
        <f t="shared" si="4"/>
        <v>1.368421052631579</v>
      </c>
      <c r="I21" s="36" t="s">
        <v>400</v>
      </c>
    </row>
    <row r="22" spans="1:9" ht="15" customHeight="1" x14ac:dyDescent="0.25">
      <c r="A22" s="33" t="s">
        <v>391</v>
      </c>
      <c r="B22" s="37" t="str">
        <f t="shared" ref="B22:H22" si="5">IF(B21&lt;=1,"✓","✗")</f>
        <v>✗</v>
      </c>
      <c r="C22" s="37" t="str">
        <f t="shared" si="5"/>
        <v>✓</v>
      </c>
      <c r="D22" s="37" t="str">
        <f t="shared" si="5"/>
        <v>✓</v>
      </c>
      <c r="E22" s="37" t="str">
        <f t="shared" si="5"/>
        <v>✓</v>
      </c>
      <c r="F22" s="37" t="str">
        <f t="shared" si="5"/>
        <v>✓</v>
      </c>
      <c r="G22" s="37" t="str">
        <f t="shared" si="5"/>
        <v>✓</v>
      </c>
      <c r="H22" s="37" t="str">
        <f t="shared" si="5"/>
        <v>✗</v>
      </c>
    </row>
    <row r="24" spans="1:9" ht="15" customHeight="1" x14ac:dyDescent="0.25">
      <c r="A24" s="6" t="s">
        <v>401</v>
      </c>
    </row>
    <row r="25" spans="1:9" ht="15" customHeight="1" x14ac:dyDescent="0.25">
      <c r="A25" s="22" t="s">
        <v>402</v>
      </c>
      <c r="B25" s="41">
        <v>60344</v>
      </c>
      <c r="C25" s="41">
        <f>'Modelo Runway'!B27</f>
        <v>2539.2924999999814</v>
      </c>
      <c r="D25" s="41">
        <f>'Modelo Runway'!C27</f>
        <v>-86649.515000000014</v>
      </c>
      <c r="E25" s="41">
        <f>'Modelo Runway'!D27</f>
        <v>-181967.92499999999</v>
      </c>
      <c r="F25" s="41">
        <f>'Modelo Runway'!F27</f>
        <v>-122304.70750000002</v>
      </c>
      <c r="G25" s="41">
        <f>'Modelo Runway'!G27</f>
        <v>-250063.83925000002</v>
      </c>
      <c r="H25" s="41">
        <f>'Modelo Runway'!H27</f>
        <v>-391520.73249999998</v>
      </c>
    </row>
    <row r="26" spans="1:9" ht="15" customHeight="1" x14ac:dyDescent="0.25">
      <c r="A26" s="22" t="s">
        <v>403</v>
      </c>
      <c r="B26" s="41">
        <v>55000</v>
      </c>
      <c r="C26" s="41">
        <f>-'Modelo Runway'!B23/12</f>
        <v>50041.666666666664</v>
      </c>
      <c r="D26" s="41">
        <f>-'Modelo Runway'!C23/12</f>
        <v>55016.666666666664</v>
      </c>
      <c r="E26" s="41">
        <f>-'Modelo Runway'!D23/12</f>
        <v>59683.333333333336</v>
      </c>
      <c r="F26" s="41">
        <f>-'Modelo Runway'!F23/12</f>
        <v>50916.666666666664</v>
      </c>
      <c r="G26" s="41">
        <f>-'Modelo Runway'!G23/12</f>
        <v>56463.333333333336</v>
      </c>
      <c r="H26" s="41">
        <f>-'Modelo Runway'!H23/12</f>
        <v>62660</v>
      </c>
    </row>
    <row r="27" spans="1:9" ht="15" customHeight="1" x14ac:dyDescent="0.25">
      <c r="A27" s="22" t="s">
        <v>404</v>
      </c>
      <c r="B27" s="39">
        <f t="shared" ref="B27:H27" si="6">B25/B26</f>
        <v>1.0971636363636363</v>
      </c>
      <c r="C27" s="39">
        <f t="shared" si="6"/>
        <v>5.0743563696918861E-2</v>
      </c>
      <c r="D27" s="39">
        <f t="shared" si="6"/>
        <v>-1.5749684641017876</v>
      </c>
      <c r="E27" s="39">
        <f t="shared" si="6"/>
        <v>-3.0488901144931582</v>
      </c>
      <c r="F27" s="39">
        <f t="shared" si="6"/>
        <v>-2.4020564484451725</v>
      </c>
      <c r="G27" s="39">
        <f t="shared" si="6"/>
        <v>-4.4287827956195764</v>
      </c>
      <c r="H27" s="39">
        <f t="shared" si="6"/>
        <v>-6.2483359798914773</v>
      </c>
      <c r="I27" s="36" t="s">
        <v>405</v>
      </c>
    </row>
    <row r="28" spans="1:9" ht="15" customHeight="1" x14ac:dyDescent="0.25">
      <c r="A28" s="33" t="s">
        <v>391</v>
      </c>
      <c r="B28" s="37" t="str">
        <f t="shared" ref="B28:H28" si="7">IF(B27&gt;=1,"✓","✗")</f>
        <v>✓</v>
      </c>
      <c r="C28" s="37" t="str">
        <f t="shared" si="7"/>
        <v>✗</v>
      </c>
      <c r="D28" s="37" t="str">
        <f t="shared" si="7"/>
        <v>✗</v>
      </c>
      <c r="E28" s="37" t="str">
        <f t="shared" si="7"/>
        <v>✗</v>
      </c>
      <c r="F28" s="37" t="str">
        <f t="shared" si="7"/>
        <v>✗</v>
      </c>
      <c r="G28" s="37" t="str">
        <f t="shared" si="7"/>
        <v>✗</v>
      </c>
      <c r="H28" s="37" t="str">
        <f t="shared" si="7"/>
        <v>✗</v>
      </c>
    </row>
    <row r="30" spans="1:9" ht="15" customHeight="1" x14ac:dyDescent="0.25">
      <c r="A30" s="6" t="s">
        <v>406</v>
      </c>
    </row>
    <row r="31" spans="1:9" ht="15" customHeight="1" x14ac:dyDescent="0.25">
      <c r="A31" s="33" t="s">
        <v>407</v>
      </c>
      <c r="B31" s="40">
        <f t="shared" ref="B31:H31" si="8">COUNTIF(B11,"✓")+COUNTIF(B16,"✓")+COUNTIF(B22,"✓")+COUNTIF(B28,"✓")</f>
        <v>1</v>
      </c>
      <c r="C31" s="40">
        <f t="shared" si="8"/>
        <v>1</v>
      </c>
      <c r="D31" s="40">
        <f t="shared" si="8"/>
        <v>1</v>
      </c>
      <c r="E31" s="40">
        <f t="shared" si="8"/>
        <v>1</v>
      </c>
      <c r="F31" s="40">
        <f t="shared" si="8"/>
        <v>1</v>
      </c>
      <c r="G31" s="40">
        <f t="shared" si="8"/>
        <v>1</v>
      </c>
      <c r="H31" s="40">
        <f t="shared" si="8"/>
        <v>0</v>
      </c>
    </row>
    <row r="33" spans="1:9" ht="15" customHeight="1" x14ac:dyDescent="0.25">
      <c r="A33" s="2" t="s">
        <v>59</v>
      </c>
      <c r="B33" s="2"/>
      <c r="C33" s="2"/>
      <c r="D33" s="2"/>
      <c r="E33" s="2"/>
      <c r="F33" s="2"/>
      <c r="G33" s="2"/>
      <c r="H33" s="2"/>
      <c r="I33" s="2"/>
    </row>
    <row r="34" spans="1:9" ht="15" customHeight="1" x14ac:dyDescent="0.25">
      <c r="A34" s="2" t="s">
        <v>408</v>
      </c>
      <c r="B34" s="2"/>
      <c r="C34" s="2"/>
      <c r="D34" s="2"/>
      <c r="E34" s="2"/>
      <c r="F34" s="2"/>
      <c r="G34" s="2"/>
      <c r="H34" s="2"/>
      <c r="I34" s="2"/>
    </row>
    <row r="35" spans="1:9" ht="15" customHeight="1" x14ac:dyDescent="0.25">
      <c r="A35" s="2" t="s">
        <v>409</v>
      </c>
      <c r="B35" s="2"/>
      <c r="C35" s="2"/>
      <c r="D35" s="2"/>
      <c r="E35" s="2"/>
      <c r="F35" s="2"/>
      <c r="G35" s="2"/>
      <c r="H35" s="2"/>
      <c r="I35" s="2"/>
    </row>
    <row r="36" spans="1:9" ht="15" customHeight="1" x14ac:dyDescent="0.25">
      <c r="A36" s="2" t="s">
        <v>410</v>
      </c>
      <c r="B36" s="2"/>
      <c r="C36" s="2"/>
      <c r="D36" s="2"/>
      <c r="E36" s="2"/>
      <c r="F36" s="2"/>
      <c r="G36" s="2"/>
      <c r="H36" s="2"/>
      <c r="I36" s="2"/>
    </row>
    <row r="37" spans="1:9" ht="15" customHeight="1" x14ac:dyDescent="0.25">
      <c r="A37" s="2" t="s">
        <v>411</v>
      </c>
      <c r="B37" s="2"/>
      <c r="C37" s="2"/>
      <c r="D37" s="2"/>
      <c r="E37" s="2"/>
      <c r="F37" s="2"/>
      <c r="G37" s="2"/>
      <c r="H37" s="2"/>
      <c r="I37" s="2"/>
    </row>
    <row r="38" spans="1:9" ht="15" customHeight="1" x14ac:dyDescent="0.25">
      <c r="A38" s="2" t="s">
        <v>412</v>
      </c>
      <c r="B38" s="2"/>
      <c r="C38" s="2"/>
      <c r="D38" s="2"/>
      <c r="E38" s="2"/>
      <c r="F38" s="2"/>
      <c r="G38" s="2"/>
      <c r="H38" s="2"/>
      <c r="I38" s="2"/>
    </row>
    <row r="39" spans="1:9" ht="15" customHeight="1" x14ac:dyDescent="0.25">
      <c r="A39" s="2" t="s">
        <v>413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2" t="s">
        <v>414</v>
      </c>
      <c r="B40" s="2"/>
      <c r="C40" s="2"/>
      <c r="D40" s="2"/>
      <c r="E40" s="2"/>
      <c r="F40" s="2"/>
      <c r="G40" s="2"/>
      <c r="H40" s="2"/>
      <c r="I40" s="2"/>
    </row>
  </sheetData>
  <mergeCells count="8">
    <mergeCell ref="A38:I38"/>
    <mergeCell ref="A39:I39"/>
    <mergeCell ref="A40:I40"/>
    <mergeCell ref="A33:I33"/>
    <mergeCell ref="A34:I34"/>
    <mergeCell ref="A35:I35"/>
    <mergeCell ref="A36:I36"/>
    <mergeCell ref="A37:I37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"/>
  <sheetViews>
    <sheetView topLeftCell="A22" zoomScaleNormal="100" workbookViewId="0"/>
  </sheetViews>
  <sheetFormatPr defaultColWidth="8.7109375" defaultRowHeight="15" x14ac:dyDescent="0.25"/>
  <cols>
    <col min="1" max="1" width="50" customWidth="1"/>
    <col min="2" max="8" width="13" customWidth="1"/>
    <col min="9" max="9" width="50" customWidth="1"/>
  </cols>
  <sheetData>
    <row r="1" spans="1:9" ht="17.25" customHeight="1" x14ac:dyDescent="0.25">
      <c r="A1" s="3" t="s">
        <v>415</v>
      </c>
    </row>
    <row r="2" spans="1:9" ht="15" customHeight="1" x14ac:dyDescent="0.25">
      <c r="A2" s="4" t="s">
        <v>416</v>
      </c>
    </row>
    <row r="4" spans="1:9" ht="15" customHeight="1" x14ac:dyDescent="0.25">
      <c r="B4" s="28" t="s">
        <v>5</v>
      </c>
      <c r="C4" s="25" t="s">
        <v>381</v>
      </c>
      <c r="D4" s="26" t="s">
        <v>382</v>
      </c>
      <c r="E4" s="27" t="s">
        <v>383</v>
      </c>
      <c r="F4" s="25" t="s">
        <v>323</v>
      </c>
      <c r="G4" s="26" t="s">
        <v>324</v>
      </c>
      <c r="H4" s="27" t="s">
        <v>325</v>
      </c>
      <c r="I4" s="28" t="s">
        <v>417</v>
      </c>
    </row>
    <row r="5" spans="1:9" ht="15" customHeight="1" x14ac:dyDescent="0.25">
      <c r="A5" s="6" t="s">
        <v>418</v>
      </c>
    </row>
    <row r="6" spans="1:9" ht="15" customHeight="1" x14ac:dyDescent="0.25">
      <c r="A6" s="22" t="s">
        <v>419</v>
      </c>
      <c r="B6" s="9">
        <v>440000</v>
      </c>
      <c r="C6" s="20">
        <f>-'Modelo Runway'!B14+125000</f>
        <v>377000</v>
      </c>
      <c r="D6" s="20">
        <f>-'Modelo Runway'!C14+125000</f>
        <v>402200</v>
      </c>
      <c r="E6" s="20">
        <f>-'Modelo Runway'!D14+125000</f>
        <v>402200</v>
      </c>
      <c r="F6" s="20">
        <f>-'Modelo Runway'!F14+115000</f>
        <v>367000</v>
      </c>
      <c r="G6" s="20">
        <f>-'Modelo Runway'!G14+115000</f>
        <v>406060</v>
      </c>
      <c r="H6" s="20">
        <f>-'Modelo Runway'!H14+115000</f>
        <v>419920</v>
      </c>
    </row>
    <row r="7" spans="1:9" ht="15" customHeight="1" x14ac:dyDescent="0.25">
      <c r="A7" s="22" t="s">
        <v>420</v>
      </c>
      <c r="B7" s="9">
        <v>510633</v>
      </c>
      <c r="C7" s="20">
        <f>'Modelo Runway'!B8+'Modelo Runway'!B9+'Modelo Runway'!B10</f>
        <v>542695.29249999998</v>
      </c>
      <c r="D7" s="20">
        <f>'Modelo Runway'!C8+'Modelo Runway'!C9+'Modelo Runway'!C10</f>
        <v>513206.48499999999</v>
      </c>
      <c r="E7" s="20">
        <f>'Modelo Runway'!D8+'Modelo Runway'!D9+'Modelo Runway'!D10</f>
        <v>473888.07500000001</v>
      </c>
      <c r="F7" s="20">
        <f>'Modelo Runway'!F8+'Modelo Runway'!F9+'Modelo Runway'!F10</f>
        <v>488695.29249999998</v>
      </c>
      <c r="G7" s="20">
        <f>'Modelo Runway'!G8+'Modelo Runway'!G9+'Modelo Runway'!G10</f>
        <v>427496.16074999998</v>
      </c>
      <c r="H7" s="20">
        <f>'Modelo Runway'!H8+'Modelo Runway'!H9+'Modelo Runway'!H10</f>
        <v>360399.26750000002</v>
      </c>
    </row>
    <row r="8" spans="1:9" ht="15" customHeight="1" x14ac:dyDescent="0.25">
      <c r="A8" s="22" t="s">
        <v>421</v>
      </c>
      <c r="B8" s="10">
        <f t="shared" ref="B8:H8" si="0">B6/B7</f>
        <v>0.86167560655108466</v>
      </c>
      <c r="C8" s="10">
        <f t="shared" si="0"/>
        <v>0.69468080009188582</v>
      </c>
      <c r="D8" s="10">
        <f t="shared" si="0"/>
        <v>0.78370015141176563</v>
      </c>
      <c r="E8" s="10">
        <f t="shared" si="0"/>
        <v>0.84872361474806046</v>
      </c>
      <c r="F8" s="10">
        <f t="shared" si="0"/>
        <v>0.75097920039817045</v>
      </c>
      <c r="G8" s="10">
        <f t="shared" si="0"/>
        <v>0.94985648359416297</v>
      </c>
      <c r="H8" s="10">
        <f t="shared" si="0"/>
        <v>1.1651522016481346</v>
      </c>
      <c r="I8" s="36" t="s">
        <v>422</v>
      </c>
    </row>
    <row r="9" spans="1:9" ht="15" customHeight="1" x14ac:dyDescent="0.25">
      <c r="A9" s="33" t="s">
        <v>423</v>
      </c>
      <c r="B9" s="37" t="str">
        <f t="shared" ref="B9:H9" si="1">IF(B8&lt;=0.8,"✓","✗")</f>
        <v>✗</v>
      </c>
      <c r="C9" s="37" t="str">
        <f t="shared" si="1"/>
        <v>✓</v>
      </c>
      <c r="D9" s="37" t="str">
        <f t="shared" si="1"/>
        <v>✓</v>
      </c>
      <c r="E9" s="37" t="str">
        <f t="shared" si="1"/>
        <v>✗</v>
      </c>
      <c r="F9" s="37" t="str">
        <f t="shared" si="1"/>
        <v>✓</v>
      </c>
      <c r="G9" s="37" t="str">
        <f t="shared" si="1"/>
        <v>✗</v>
      </c>
      <c r="H9" s="37" t="str">
        <f t="shared" si="1"/>
        <v>✗</v>
      </c>
    </row>
    <row r="10" spans="1:9" ht="15" customHeight="1" x14ac:dyDescent="0.25">
      <c r="A10" s="33" t="s">
        <v>424</v>
      </c>
      <c r="B10" s="37" t="str">
        <f t="shared" ref="B10:H10" si="2">IF(B8&lt;=0.7,"✓","✗")</f>
        <v>✗</v>
      </c>
      <c r="C10" s="37" t="str">
        <f t="shared" si="2"/>
        <v>✓</v>
      </c>
      <c r="D10" s="37" t="str">
        <f t="shared" si="2"/>
        <v>✗</v>
      </c>
      <c r="E10" s="37" t="str">
        <f t="shared" si="2"/>
        <v>✗</v>
      </c>
      <c r="F10" s="37" t="str">
        <f t="shared" si="2"/>
        <v>✗</v>
      </c>
      <c r="G10" s="37" t="str">
        <f t="shared" si="2"/>
        <v>✗</v>
      </c>
      <c r="H10" s="37" t="str">
        <f t="shared" si="2"/>
        <v>✗</v>
      </c>
    </row>
    <row r="12" spans="1:9" ht="15" customHeight="1" x14ac:dyDescent="0.25">
      <c r="A12" s="6" t="s">
        <v>425</v>
      </c>
    </row>
    <row r="13" spans="1:9" ht="15" customHeight="1" x14ac:dyDescent="0.25">
      <c r="A13" s="22" t="s">
        <v>426</v>
      </c>
      <c r="B13" s="20">
        <v>-126472</v>
      </c>
      <c r="C13" s="20">
        <f>C7-C6-'Premissas Runway'!B23-'Premissas Runway'!B24</f>
        <v>35695.292499999981</v>
      </c>
      <c r="D13" s="20">
        <f>D7-D6-'Premissas Runway'!C23-'Premissas Runway'!C24</f>
        <v>-28993.515000000014</v>
      </c>
      <c r="E13" s="20">
        <f>E7-E6-'Premissas Runway'!D23-'Premissas Runway'!D24</f>
        <v>-78311.924999999988</v>
      </c>
      <c r="F13" s="20">
        <f>F7-F6-'Premissas Runway'!B54-'Premissas Runway'!B55</f>
        <v>-16304.707500000019</v>
      </c>
      <c r="G13" s="20">
        <f>G7-G6-'Premissas Runway'!C54-'Premissas Runway'!C55</f>
        <v>-125563.83925000002</v>
      </c>
      <c r="H13" s="20">
        <f>H7-H6-'Premissas Runway'!D54-'Premissas Runway'!D55</f>
        <v>-217520.73249999998</v>
      </c>
    </row>
    <row r="14" spans="1:9" ht="15" customHeight="1" x14ac:dyDescent="0.25">
      <c r="A14" s="22" t="s">
        <v>427</v>
      </c>
      <c r="B14" s="20">
        <f t="shared" ref="B14:H14" si="3">-MAX(30000,B7*0.025)</f>
        <v>-30000</v>
      </c>
      <c r="C14" s="20">
        <f t="shared" si="3"/>
        <v>-30000</v>
      </c>
      <c r="D14" s="20">
        <f t="shared" si="3"/>
        <v>-30000</v>
      </c>
      <c r="E14" s="20">
        <f t="shared" si="3"/>
        <v>-30000</v>
      </c>
      <c r="F14" s="20">
        <f t="shared" si="3"/>
        <v>-30000</v>
      </c>
      <c r="G14" s="20">
        <f t="shared" si="3"/>
        <v>-30000</v>
      </c>
      <c r="H14" s="20">
        <f t="shared" si="3"/>
        <v>-30000</v>
      </c>
      <c r="I14" s="36" t="s">
        <v>428</v>
      </c>
    </row>
    <row r="15" spans="1:9" ht="15" customHeight="1" x14ac:dyDescent="0.25">
      <c r="A15" s="33" t="s">
        <v>391</v>
      </c>
      <c r="B15" s="37" t="str">
        <f t="shared" ref="B15:H15" si="4">IF(B13&gt;=B14,"✓","✗")</f>
        <v>✗</v>
      </c>
      <c r="C15" s="37" t="str">
        <f t="shared" si="4"/>
        <v>✓</v>
      </c>
      <c r="D15" s="37" t="str">
        <f t="shared" si="4"/>
        <v>✓</v>
      </c>
      <c r="E15" s="37" t="str">
        <f t="shared" si="4"/>
        <v>✗</v>
      </c>
      <c r="F15" s="37" t="str">
        <f t="shared" si="4"/>
        <v>✓</v>
      </c>
      <c r="G15" s="37" t="str">
        <f t="shared" si="4"/>
        <v>✗</v>
      </c>
      <c r="H15" s="37" t="str">
        <f t="shared" si="4"/>
        <v>✗</v>
      </c>
      <c r="I15" s="30" t="s">
        <v>429</v>
      </c>
    </row>
    <row r="17" spans="1:9" ht="15" customHeight="1" x14ac:dyDescent="0.25">
      <c r="A17" s="6" t="s">
        <v>430</v>
      </c>
    </row>
    <row r="18" spans="1:9" ht="15" customHeight="1" x14ac:dyDescent="0.25">
      <c r="A18" s="22" t="s">
        <v>431</v>
      </c>
      <c r="B18" s="15">
        <f>'Caminho A — Trajetória'!B21</f>
        <v>1.6804816288563897</v>
      </c>
      <c r="C18" s="15">
        <f>'Caminho A — Trajetória'!C21</f>
        <v>0.44692737430167595</v>
      </c>
      <c r="D18" s="15">
        <f>'Caminho A — Trajetória'!D21</f>
        <v>0.44692737430167595</v>
      </c>
      <c r="E18" s="15">
        <f>'Caminho A — Trajetória'!E21</f>
        <v>0.72625698324022347</v>
      </c>
      <c r="F18" s="15">
        <f>'Caminho A — Trajetória'!F21</f>
        <v>0.64</v>
      </c>
      <c r="G18" s="15">
        <f>'Caminho A — Trajetória'!G21</f>
        <v>0.72727272727272729</v>
      </c>
      <c r="H18" s="15">
        <f>'Caminho A — Trajetória'!H21</f>
        <v>1.368421052631579</v>
      </c>
      <c r="I18" s="36" t="s">
        <v>432</v>
      </c>
    </row>
    <row r="19" spans="1:9" ht="15" customHeight="1" x14ac:dyDescent="0.25">
      <c r="A19" s="33" t="s">
        <v>391</v>
      </c>
      <c r="B19" s="37" t="str">
        <f t="shared" ref="B19:H19" si="5">IF(B18&lt;=1,"✓","✗")</f>
        <v>✗</v>
      </c>
      <c r="C19" s="37" t="str">
        <f t="shared" si="5"/>
        <v>✓</v>
      </c>
      <c r="D19" s="37" t="str">
        <f t="shared" si="5"/>
        <v>✓</v>
      </c>
      <c r="E19" s="37" t="str">
        <f t="shared" si="5"/>
        <v>✓</v>
      </c>
      <c r="F19" s="37" t="str">
        <f t="shared" si="5"/>
        <v>✓</v>
      </c>
      <c r="G19" s="37" t="str">
        <f t="shared" si="5"/>
        <v>✓</v>
      </c>
      <c r="H19" s="37" t="str">
        <f t="shared" si="5"/>
        <v>✗</v>
      </c>
    </row>
    <row r="21" spans="1:9" ht="15" customHeight="1" x14ac:dyDescent="0.25">
      <c r="A21" s="6" t="s">
        <v>433</v>
      </c>
    </row>
    <row r="22" spans="1:9" ht="15" customHeight="1" x14ac:dyDescent="0.25">
      <c r="A22" s="22" t="s">
        <v>434</v>
      </c>
      <c r="B22" s="9">
        <v>26250</v>
      </c>
      <c r="C22" s="20">
        <f>'Caminho A — Trajetória'!C9/12</f>
        <v>21000</v>
      </c>
      <c r="D22" s="20">
        <f>'Caminho A — Trajetória'!D9/12</f>
        <v>23100</v>
      </c>
      <c r="E22" s="20">
        <f>'Caminho A — Trajetória'!E9/12</f>
        <v>23100</v>
      </c>
      <c r="F22" s="20">
        <f>'Caminho A — Trajetória'!F9/12</f>
        <v>21000</v>
      </c>
      <c r="G22" s="20">
        <f>'Caminho A — Trajetória'!G9/12</f>
        <v>24255</v>
      </c>
      <c r="H22" s="20">
        <f>'Caminho A — Trajetória'!H9/12</f>
        <v>25410</v>
      </c>
      <c r="I22" s="36" t="s">
        <v>435</v>
      </c>
    </row>
    <row r="24" spans="1:9" ht="15" customHeight="1" x14ac:dyDescent="0.25">
      <c r="A24" s="6" t="s">
        <v>436</v>
      </c>
    </row>
    <row r="25" spans="1:9" ht="199.5" customHeight="1" x14ac:dyDescent="0.25">
      <c r="A25" s="1" t="s">
        <v>437</v>
      </c>
      <c r="B25" s="1"/>
      <c r="C25" s="1"/>
      <c r="D25" s="1"/>
      <c r="E25" s="1"/>
      <c r="F25" s="1"/>
      <c r="G25" s="1"/>
      <c r="H25" s="1"/>
      <c r="I25" s="1"/>
    </row>
  </sheetData>
  <mergeCells count="1">
    <mergeCell ref="A25:I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BP</vt:lpstr>
      <vt:lpstr>DRE</vt:lpstr>
      <vt:lpstr>Receita Detalhada</vt:lpstr>
      <vt:lpstr>DFC</vt:lpstr>
      <vt:lpstr>Operacional Puro</vt:lpstr>
      <vt:lpstr>Indicadores</vt:lpstr>
      <vt:lpstr>Premissas Runway</vt:lpstr>
      <vt:lpstr>Modelo Runway</vt:lpstr>
      <vt:lpstr>Resumo Cenários</vt:lpstr>
      <vt:lpstr>Caminho A — Trajetória</vt:lpstr>
      <vt:lpstr>Conformidade SSF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Vinicius Augusto</cp:lastModifiedBy>
  <cp:revision>0</cp:revision>
  <dcterms:created xsi:type="dcterms:W3CDTF">2026-05-06T20:31:15Z</dcterms:created>
  <dcterms:modified xsi:type="dcterms:W3CDTF">2026-05-07T15:30:10Z</dcterms:modified>
  <dc:language>en-US</dc:language>
</cp:coreProperties>
</file>